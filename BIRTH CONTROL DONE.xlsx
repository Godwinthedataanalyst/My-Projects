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1040G3\Documents\"/>
    </mc:Choice>
  </mc:AlternateContent>
  <xr:revisionPtr revIDLastSave="0" documentId="13_ncr:1_{B510BD5C-D425-4E57-A4E6-BF7BD73DB875}" xr6:coauthVersionLast="47" xr6:coauthVersionMax="47" xr10:uidLastSave="{00000000-0000-0000-0000-000000000000}"/>
  <bookViews>
    <workbookView xWindow="-98" yWindow="-98" windowWidth="19396" windowHeight="10395" activeTab="4" xr2:uid="{32ABD9FB-6678-400D-AAA3-120CD8BB43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vISUALIZATION" sheetId="6" r:id="rId6"/>
  </sheet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F10" i="3"/>
  <c r="I10" i="3"/>
  <c r="H20" i="3"/>
  <c r="J10" i="3"/>
  <c r="J4" i="3"/>
  <c r="J5" i="3"/>
  <c r="J6" i="3"/>
  <c r="J7" i="3"/>
  <c r="J8" i="3"/>
  <c r="J9" i="3"/>
  <c r="J12" i="3"/>
  <c r="J13" i="3"/>
  <c r="J14" i="3"/>
  <c r="J15" i="3"/>
  <c r="J17" i="3"/>
  <c r="J18" i="3"/>
  <c r="J19" i="3"/>
  <c r="J20" i="3"/>
  <c r="J22" i="3"/>
  <c r="J23" i="3"/>
  <c r="J24" i="3"/>
  <c r="J26" i="3"/>
  <c r="J27" i="3"/>
  <c r="J28" i="3"/>
  <c r="I4" i="3"/>
  <c r="I5" i="3"/>
  <c r="I6" i="3"/>
  <c r="I7" i="3"/>
  <c r="I8" i="3"/>
  <c r="I9" i="3"/>
  <c r="I12" i="3"/>
  <c r="I13" i="3"/>
  <c r="I14" i="3"/>
  <c r="I15" i="3"/>
  <c r="I17" i="3"/>
  <c r="I18" i="3"/>
  <c r="I19" i="3"/>
  <c r="I20" i="3"/>
  <c r="I22" i="3"/>
  <c r="I23" i="3"/>
  <c r="I24" i="3"/>
  <c r="I26" i="3"/>
  <c r="I27" i="3"/>
  <c r="I28" i="3"/>
  <c r="H4" i="3"/>
  <c r="H5" i="3"/>
  <c r="H6" i="3"/>
  <c r="H7" i="3"/>
  <c r="H8" i="3"/>
  <c r="H9" i="3"/>
  <c r="H12" i="3"/>
  <c r="H13" i="3"/>
  <c r="H14" i="3"/>
  <c r="H15" i="3"/>
  <c r="H17" i="3"/>
  <c r="H18" i="3"/>
  <c r="H19" i="3"/>
  <c r="H22" i="3"/>
  <c r="H23" i="3"/>
  <c r="H24" i="3"/>
  <c r="H26" i="3"/>
  <c r="H27" i="3"/>
  <c r="H28" i="3"/>
  <c r="G4" i="3"/>
  <c r="G5" i="3"/>
  <c r="G6" i="3"/>
  <c r="G7" i="3"/>
  <c r="G8" i="3"/>
  <c r="G9" i="3"/>
  <c r="G12" i="3"/>
  <c r="G13" i="3"/>
  <c r="G14" i="3"/>
  <c r="G15" i="3"/>
  <c r="G17" i="3"/>
  <c r="G18" i="3"/>
  <c r="G19" i="3"/>
  <c r="G20" i="3"/>
  <c r="G22" i="3"/>
  <c r="G23" i="3"/>
  <c r="G24" i="3"/>
  <c r="G26" i="3"/>
  <c r="G27" i="3"/>
  <c r="G28" i="3"/>
  <c r="J3" i="3"/>
  <c r="I3" i="3"/>
  <c r="H3" i="3"/>
  <c r="G3" i="3"/>
  <c r="F22" i="3"/>
  <c r="F23" i="3"/>
  <c r="F24" i="3"/>
  <c r="F26" i="3"/>
  <c r="F27" i="3"/>
  <c r="F28" i="3"/>
  <c r="F17" i="3"/>
  <c r="F18" i="3"/>
  <c r="F19" i="3"/>
  <c r="F13" i="3"/>
  <c r="F14" i="3"/>
  <c r="F15" i="3"/>
  <c r="F12" i="3"/>
  <c r="F4" i="3"/>
  <c r="F5" i="3"/>
  <c r="F6" i="3"/>
  <c r="F7" i="3"/>
  <c r="F8" i="3"/>
  <c r="F9" i="3"/>
  <c r="F3" i="3"/>
  <c r="G10" i="3" l="1"/>
  <c r="H10" i="3"/>
</calcChain>
</file>

<file path=xl/sharedStrings.xml><?xml version="1.0" encoding="utf-8"?>
<sst xmlns="http://schemas.openxmlformats.org/spreadsheetml/2006/main" count="1925" uniqueCount="84">
  <si>
    <t>Q1A</t>
  </si>
  <si>
    <t>Q2A</t>
  </si>
  <si>
    <t>Q3A</t>
  </si>
  <si>
    <t>Q4A</t>
  </si>
  <si>
    <t>Q5A</t>
  </si>
  <si>
    <t>Q6A</t>
  </si>
  <si>
    <t>Q7A</t>
  </si>
  <si>
    <t>Q8A</t>
  </si>
  <si>
    <t>Q9A</t>
  </si>
  <si>
    <t>Q10A</t>
  </si>
  <si>
    <t>Q11A</t>
  </si>
  <si>
    <t>Q12A</t>
  </si>
  <si>
    <t>Q13A</t>
  </si>
  <si>
    <t>Q14</t>
  </si>
  <si>
    <t>Q15A</t>
  </si>
  <si>
    <t>Q16A</t>
  </si>
  <si>
    <t>Q17D</t>
  </si>
  <si>
    <t>Q18D</t>
  </si>
  <si>
    <t>Q19D</t>
  </si>
  <si>
    <t>Q20E</t>
  </si>
  <si>
    <t>Q21E</t>
  </si>
  <si>
    <t>Q22E</t>
  </si>
  <si>
    <t>A</t>
  </si>
  <si>
    <t>D</t>
  </si>
  <si>
    <t>SD</t>
  </si>
  <si>
    <t>SA</t>
  </si>
  <si>
    <t>S</t>
  </si>
  <si>
    <t>Row Labels</t>
  </si>
  <si>
    <t>Grand Total</t>
  </si>
  <si>
    <t>Count of Q1A</t>
  </si>
  <si>
    <t>Count of Q2A</t>
  </si>
  <si>
    <t>Count of Q3A</t>
  </si>
  <si>
    <t>Count of Q4A</t>
  </si>
  <si>
    <t>Count of Q5A</t>
  </si>
  <si>
    <t>Count of Q6A</t>
  </si>
  <si>
    <t>Count of Q7A</t>
  </si>
  <si>
    <t>Count of Q8A</t>
  </si>
  <si>
    <t>Count of Q17D</t>
  </si>
  <si>
    <t>Count of Q18D</t>
  </si>
  <si>
    <t>Count of Q19D</t>
  </si>
  <si>
    <t>Count of Q20E</t>
  </si>
  <si>
    <t>Count of Q21E</t>
  </si>
  <si>
    <t>Count of Q22E</t>
  </si>
  <si>
    <t>Count of Q9B</t>
  </si>
  <si>
    <t>Count of Q10B</t>
  </si>
  <si>
    <t>Count of Q11B</t>
  </si>
  <si>
    <t>Count of Q12B</t>
  </si>
  <si>
    <t>Count of Q13C</t>
  </si>
  <si>
    <t>Count of Q14C</t>
  </si>
  <si>
    <t>Count of Q15C</t>
  </si>
  <si>
    <t>Count of Q16C</t>
  </si>
  <si>
    <t>QUESTION</t>
  </si>
  <si>
    <t>Usage of family planning</t>
  </si>
  <si>
    <t xml:space="preserve">1. I have used a family planning method before. </t>
  </si>
  <si>
    <t>2. I am currently using a family planning method.</t>
  </si>
  <si>
    <t>3. I use my family planning method regularly as recommended.</t>
  </si>
  <si>
    <t>4. It is easy for me to keep using my current family planning method.</t>
  </si>
  <si>
    <t>5. I follow the instructions for using my family planning method correctly.</t>
  </si>
  <si>
    <t xml:space="preserve">6. I am happy with how well my family planning method works. </t>
  </si>
  <si>
    <t>7. I have not experienced any side effects from my family planning method.</t>
  </si>
  <si>
    <t>8. I plan to continue using my current family planning method in the future.</t>
  </si>
  <si>
    <t>Access and Convenience</t>
  </si>
  <si>
    <t>9. It is easy for me to get family planning services in my area.</t>
  </si>
  <si>
    <t xml:space="preserve">10. Family planning centers are located conveniently for me. </t>
  </si>
  <si>
    <t>11. The hours when family planning services are available work well with my schedule.</t>
  </si>
  <si>
    <t>12. I can afford the costs of family planning methods.</t>
  </si>
  <si>
    <t xml:space="preserve">Support and Influence </t>
  </si>
  <si>
    <t>13. My partner supports my use of family planning.</t>
  </si>
  <si>
    <t>14. My family encourages me to use family planning methods.</t>
  </si>
  <si>
    <t>15. Healthcare workers support my choices about family planning.</t>
  </si>
  <si>
    <t>16. Friends or peers influence my decision to use family planning.</t>
  </si>
  <si>
    <t xml:space="preserve">Cultural and Religious Factors </t>
  </si>
  <si>
    <t>17. My culture is supportive of using family planning methods.</t>
  </si>
  <si>
    <t>18. My religious beliefs affect my use of family planning methods.</t>
  </si>
  <si>
    <t>19. I feel comfortable talking about family planning with my religious leaders.</t>
  </si>
  <si>
    <t xml:space="preserve">Challenges and Barriers </t>
  </si>
  <si>
    <t>20. I have had difficulties accessing family planning services.</t>
  </si>
  <si>
    <t>21. Fear of side effects stops me from using family planning methods.</t>
  </si>
  <si>
    <t>22. Not having enough information makes it hard for me to use family planning effectively.</t>
  </si>
  <si>
    <t>TOTAL</t>
  </si>
  <si>
    <t>%A</t>
  </si>
  <si>
    <t>%D</t>
  </si>
  <si>
    <t>%SA</t>
  </si>
  <si>
    <t>%SD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</si>
</sst>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1" xfId="0" applyFill="1" applyBorder="1"/>
    <xf numFmtId="9" fontId="1" fillId="0" borderId="2" xfId="1" applyFont="1" applyBorder="1" applyAlignment="1">
      <alignment wrapText="1"/>
    </xf>
  </cellXfs>
  <cellStyles count="2">
    <cellStyle name="Normal" xfId="0" builtinId="0"/>
    <cellStyle name="Percent" xfId="1" builtinId="5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</a:t>
            </a:r>
            <a:r>
              <a:rPr lang="en-US" baseline="0"/>
              <a:t> of Family Planning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Sheet3!$G$3:$J$3</c:f>
              <c:numCache>
                <c:formatCode>0%</c:formatCode>
                <c:ptCount val="4"/>
                <c:pt idx="0">
                  <c:v>0.39130434782608697</c:v>
                </c:pt>
                <c:pt idx="1">
                  <c:v>0.47826086956521741</c:v>
                </c:pt>
                <c:pt idx="2">
                  <c:v>4.3478260869565216E-2</c:v>
                </c:pt>
                <c:pt idx="3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D-4436-837D-2F16B5910F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6419296"/>
        <c:axId val="1746403488"/>
      </c:barChart>
      <c:catAx>
        <c:axId val="174641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03488"/>
        <c:crosses val="autoZero"/>
        <c:auto val="1"/>
        <c:lblAlgn val="ctr"/>
        <c:lblOffset val="100"/>
        <c:noMultiLvlLbl val="0"/>
      </c:catAx>
      <c:valAx>
        <c:axId val="174640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1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Currently</a:t>
            </a:r>
            <a:r>
              <a:rPr lang="en-US" baseline="0"/>
              <a:t> using Aa family planning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Sheet3!$G$4:$J$4</c:f>
              <c:numCache>
                <c:formatCode>0%</c:formatCode>
                <c:ptCount val="4"/>
                <c:pt idx="0">
                  <c:v>0.32608695652173914</c:v>
                </c:pt>
                <c:pt idx="1">
                  <c:v>0.58695652173913049</c:v>
                </c:pt>
                <c:pt idx="2">
                  <c:v>2.1739130434782608E-2</c:v>
                </c:pt>
                <c:pt idx="3">
                  <c:v>6.5217391304347824E-2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7-4A13-97F7-18357FFB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533088"/>
        <c:axId val="1758533504"/>
      </c:barChart>
      <c:catAx>
        <c:axId val="175853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33504"/>
        <c:crosses val="autoZero"/>
        <c:auto val="1"/>
        <c:lblAlgn val="ctr"/>
        <c:lblOffset val="100"/>
        <c:noMultiLvlLbl val="0"/>
      </c:catAx>
      <c:valAx>
        <c:axId val="17585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3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Side effect of Family planning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1C-4D05-8775-2D4735481A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1C-4D05-8775-2D4735481A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1C-4D05-8775-2D4735481A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1C-4D05-8775-2D4735481A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Sheet3!$G$9:$J$9</c:f>
              <c:numCache>
                <c:formatCode>0%</c:formatCode>
                <c:ptCount val="4"/>
                <c:pt idx="0">
                  <c:v>0.28260869565217389</c:v>
                </c:pt>
                <c:pt idx="1">
                  <c:v>0.58695652173913049</c:v>
                </c:pt>
                <c:pt idx="2">
                  <c:v>4.3478260869565216E-2</c:v>
                </c:pt>
                <c:pt idx="3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1C-4D05-8775-2D4735481A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Ease of Access to Family Planning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Sheet3!$G$12:$J$12</c:f>
              <c:numCache>
                <c:formatCode>0%</c:formatCode>
                <c:ptCount val="4"/>
                <c:pt idx="0">
                  <c:v>0.67391304347826086</c:v>
                </c:pt>
                <c:pt idx="1">
                  <c:v>0.28260869565217389</c:v>
                </c:pt>
                <c:pt idx="2">
                  <c:v>2.1739130434782608E-2</c:v>
                </c:pt>
                <c:pt idx="3">
                  <c:v>2.1739130434782608E-2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9-4643-B9B7-2C56F7E29F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83016608"/>
        <c:axId val="1883025760"/>
        <c:axId val="0"/>
      </c:bar3DChart>
      <c:catAx>
        <c:axId val="1883016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25760"/>
        <c:crosses val="autoZero"/>
        <c:auto val="1"/>
        <c:lblAlgn val="ctr"/>
        <c:lblOffset val="100"/>
        <c:noMultiLvlLbl val="0"/>
      </c:catAx>
      <c:valAx>
        <c:axId val="18830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Spouse</a:t>
            </a:r>
            <a:r>
              <a:rPr lang="en-US" baseline="0"/>
              <a:t> support for Family Planning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Sheet3!$G$17</c:f>
              <c:numCache>
                <c:formatCode>0%</c:formatCode>
                <c:ptCount val="1"/>
                <c:pt idx="0">
                  <c:v>0.54347826086956519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F-4F2F-9095-25A77A8CF1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Sheet3!$H$17</c:f>
              <c:numCache>
                <c:formatCode>0%</c:formatCode>
                <c:ptCount val="1"/>
                <c:pt idx="0">
                  <c:v>0.32608695652173914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F-4F2F-9095-25A77A8CF17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Sheet3!$I$17</c:f>
              <c:numCache>
                <c:formatCode>0%</c:formatCode>
                <c:ptCount val="1"/>
                <c:pt idx="0">
                  <c:v>4.3478260869565216E-2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F-4F2F-9095-25A77A8CF17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gradFill flip="none" rotWithShape="1">
                <a:gsLst>
                  <a:gs pos="0">
                    <a:schemeClr val="accent4">
                      <a:lumMod val="5000"/>
                      <a:lumOff val="95000"/>
                    </a:schemeClr>
                  </a:gs>
                  <a:gs pos="74000">
                    <a:schemeClr val="accent4">
                      <a:lumMod val="45000"/>
                      <a:lumOff val="55000"/>
                    </a:schemeClr>
                  </a:gs>
                  <a:gs pos="83000">
                    <a:schemeClr val="accent4">
                      <a:lumMod val="45000"/>
                      <a:lumOff val="55000"/>
                    </a:schemeClr>
                  </a:gs>
                  <a:gs pos="100000">
                    <a:schemeClr val="accent4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Sheet3!$J$17</c:f>
              <c:numCache>
                <c:formatCode>0%</c:formatCode>
                <c:ptCount val="1"/>
                <c:pt idx="0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F-4F2F-9095-25A77A8CF1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2398544"/>
        <c:axId val="1982398960"/>
        <c:axId val="1884030272"/>
      </c:bar3DChart>
      <c:catAx>
        <c:axId val="198239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98960"/>
        <c:crosses val="autoZero"/>
        <c:auto val="1"/>
        <c:lblAlgn val="ctr"/>
        <c:lblOffset val="100"/>
        <c:noMultiLvlLbl val="0"/>
      </c:catAx>
      <c:valAx>
        <c:axId val="19823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98544"/>
        <c:crosses val="autoZero"/>
        <c:crossBetween val="between"/>
      </c:valAx>
      <c:serAx>
        <c:axId val="188403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989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17</xdr:row>
      <xdr:rowOff>16667</xdr:rowOff>
    </xdr:from>
    <xdr:to>
      <xdr:col>5</xdr:col>
      <xdr:colOff>457199</xdr:colOff>
      <xdr:row>29</xdr:row>
      <xdr:rowOff>166689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6C8B4-2A88-4B5F-80ED-6E5C7851C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161924</xdr:colOff>
      <xdr:row>15</xdr:row>
      <xdr:rowOff>147638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8EE3D22-BC7E-498E-8D1F-98507063FA9A}"/>
            </a:ext>
          </a:extLst>
        </xdr:cNvPr>
        <xdr:cNvSpPr/>
      </xdr:nvSpPr>
      <xdr:spPr>
        <a:xfrm>
          <a:off x="0" y="0"/>
          <a:ext cx="5991224" cy="28622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latin typeface="Algerian" panose="04020705040A02060702" pitchFamily="82" charset="0"/>
            </a:rPr>
            <a:t>Federal ministry of health in collaboration with Primary</a:t>
          </a:r>
          <a:r>
            <a:rPr lang="en-US" sz="1400" baseline="0">
              <a:latin typeface="Algerian" panose="04020705040A02060702" pitchFamily="82" charset="0"/>
            </a:rPr>
            <a:t> health care centres and host communities</a:t>
          </a:r>
        </a:p>
        <a:p>
          <a:pPr algn="l"/>
          <a:endParaRPr lang="en-US" sz="1100" baseline="0"/>
        </a:p>
        <a:p>
          <a:pPr algn="l"/>
          <a:r>
            <a:rPr lang="en-US" sz="1400" baseline="0">
              <a:latin typeface="Algerian" panose="04020705040A02060702" pitchFamily="82" charset="0"/>
            </a:rPr>
            <a:t>Analysis on birth control Measures,awareness,sensitization and provision of services for the host communities</a:t>
          </a:r>
          <a:endParaRPr lang="en-US" sz="1400"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214311</xdr:colOff>
      <xdr:row>8</xdr:row>
      <xdr:rowOff>104775</xdr:rowOff>
    </xdr:from>
    <xdr:to>
      <xdr:col>6</xdr:col>
      <xdr:colOff>295275</xdr:colOff>
      <xdr:row>15</xdr:row>
      <xdr:rowOff>95250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694AFC2-55B2-4A08-A64C-51796B370FB6}"/>
            </a:ext>
          </a:extLst>
        </xdr:cNvPr>
        <xdr:cNvSpPr/>
      </xdr:nvSpPr>
      <xdr:spPr>
        <a:xfrm>
          <a:off x="214311" y="1552575"/>
          <a:ext cx="3967164" cy="1257300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1"/>
              </a:solidFill>
              <a:latin typeface="Algerian" panose="04020705040A02060702" pitchFamily="82" charset="0"/>
            </a:rPr>
            <a:t>KEY:</a:t>
          </a:r>
        </a:p>
        <a:p>
          <a:pPr algn="l"/>
          <a:r>
            <a:rPr lang="en-US" sz="1050">
              <a:solidFill>
                <a:schemeClr val="accent1"/>
              </a:solidFill>
              <a:latin typeface="Algerian" panose="04020705040A02060702" pitchFamily="82" charset="0"/>
            </a:rPr>
            <a:t>1=</a:t>
          </a:r>
          <a:r>
            <a:rPr lang="en-US" sz="1050" baseline="0">
              <a:solidFill>
                <a:schemeClr val="accent1"/>
              </a:solidFill>
              <a:latin typeface="Algerian" panose="04020705040A02060702" pitchFamily="82" charset="0"/>
            </a:rPr>
            <a:t> AGREE          4= STRONGLY DISAGREE</a:t>
          </a:r>
        </a:p>
        <a:p>
          <a:pPr algn="l"/>
          <a:r>
            <a:rPr lang="en-US" sz="1050" baseline="0">
              <a:solidFill>
                <a:schemeClr val="accent1"/>
              </a:solidFill>
              <a:latin typeface="Algerian" panose="04020705040A02060702" pitchFamily="82" charset="0"/>
            </a:rPr>
            <a:t>2=DISAGREE</a:t>
          </a:r>
        </a:p>
        <a:p>
          <a:pPr algn="l"/>
          <a:r>
            <a:rPr lang="en-US" sz="1050" baseline="0">
              <a:solidFill>
                <a:schemeClr val="accent1"/>
              </a:solidFill>
              <a:latin typeface="Algerian" panose="04020705040A02060702" pitchFamily="82" charset="0"/>
            </a:rPr>
            <a:t>3=STRONGLY AGREE</a:t>
          </a:r>
        </a:p>
      </xdr:txBody>
    </xdr:sp>
    <xdr:clientData/>
  </xdr:twoCellAnchor>
  <xdr:twoCellAnchor>
    <xdr:from>
      <xdr:col>5</xdr:col>
      <xdr:colOff>597683</xdr:colOff>
      <xdr:row>16</xdr:row>
      <xdr:rowOff>169068</xdr:rowOff>
    </xdr:from>
    <xdr:to>
      <xdr:col>12</xdr:col>
      <xdr:colOff>23813</xdr:colOff>
      <xdr:row>29</xdr:row>
      <xdr:rowOff>161925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72B273E4-729B-4FF8-A634-8E3039770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128588</xdr:colOff>
      <xdr:row>30</xdr:row>
      <xdr:rowOff>69057</xdr:rowOff>
    </xdr:from>
    <xdr:to>
      <xdr:col>5</xdr:col>
      <xdr:colOff>523876</xdr:colOff>
      <xdr:row>43</xdr:row>
      <xdr:rowOff>166689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1F3F3AB3-32F4-471D-A733-C3DE4EECE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578643</xdr:colOff>
      <xdr:row>30</xdr:row>
      <xdr:rowOff>40480</xdr:rowOff>
    </xdr:from>
    <xdr:to>
      <xdr:col>12</xdr:col>
      <xdr:colOff>23813</xdr:colOff>
      <xdr:row>45</xdr:row>
      <xdr:rowOff>69055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876CAAF2-7B60-45C5-B576-2F4BDE3BA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114301</xdr:colOff>
      <xdr:row>45</xdr:row>
      <xdr:rowOff>88108</xdr:rowOff>
    </xdr:from>
    <xdr:to>
      <xdr:col>8</xdr:col>
      <xdr:colOff>252413</xdr:colOff>
      <xdr:row>62</xdr:row>
      <xdr:rowOff>38103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CBA12016-B95A-43B7-9E5E-D0E2102AA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1040G3" refreshedDate="45651.24876574074" createdVersion="7" refreshedVersion="7" minRefreshableVersion="3" recordCount="47" xr:uid="{E1B70BB0-9592-4F7D-9B3D-5A957E690EBD}">
  <cacheSource type="worksheet">
    <worksheetSource ref="A1:V1048576" sheet="Sheet1"/>
  </cacheSource>
  <cacheFields count="22">
    <cacheField name="Q1A" numFmtId="0">
      <sharedItems containsBlank="1" count="5">
        <s v="A"/>
        <s v="D"/>
        <s v="SD"/>
        <s v="SA"/>
        <m/>
      </sharedItems>
    </cacheField>
    <cacheField name="Q2A" numFmtId="0">
      <sharedItems containsBlank="1" count="5">
        <s v="D"/>
        <s v="A"/>
        <s v="SD"/>
        <s v="SA"/>
        <m/>
      </sharedItems>
    </cacheField>
    <cacheField name="Q3A" numFmtId="0">
      <sharedItems containsBlank="1" count="5">
        <s v="A"/>
        <s v="D"/>
        <s v="SA"/>
        <s v="SD"/>
        <m/>
      </sharedItems>
    </cacheField>
    <cacheField name="Q4A" numFmtId="0">
      <sharedItems containsBlank="1" count="5">
        <s v="D"/>
        <s v="A"/>
        <s v="SD"/>
        <s v="SA"/>
        <m/>
      </sharedItems>
    </cacheField>
    <cacheField name="Q5A" numFmtId="0">
      <sharedItems containsBlank="1" count="5">
        <s v="A"/>
        <s v="D"/>
        <s v="SA"/>
        <s v="SD"/>
        <m/>
      </sharedItems>
    </cacheField>
    <cacheField name="Q6A" numFmtId="0">
      <sharedItems containsBlank="1" count="5">
        <s v="D"/>
        <s v="A"/>
        <s v="SA"/>
        <s v="SD"/>
        <m/>
      </sharedItems>
    </cacheField>
    <cacheField name="Q7A" numFmtId="0">
      <sharedItems containsBlank="1" count="5">
        <s v="SD"/>
        <s v="D"/>
        <s v="A"/>
        <s v="SA"/>
        <m/>
      </sharedItems>
    </cacheField>
    <cacheField name="Q8A" numFmtId="0">
      <sharedItems containsBlank="1" count="5">
        <s v="D"/>
        <s v="A"/>
        <s v="SD"/>
        <s v="SA"/>
        <m/>
      </sharedItems>
    </cacheField>
    <cacheField name="Q9A" numFmtId="0">
      <sharedItems containsBlank="1" count="5">
        <s v="A"/>
        <s v="D"/>
        <s v="SD"/>
        <s v="SA"/>
        <m/>
      </sharedItems>
    </cacheField>
    <cacheField name="Q10A" numFmtId="0">
      <sharedItems containsBlank="1" count="5">
        <s v="A"/>
        <s v="SA"/>
        <s v="D"/>
        <s v="SD"/>
        <m/>
      </sharedItems>
    </cacheField>
    <cacheField name="Q11A" numFmtId="0">
      <sharedItems containsBlank="1" count="4">
        <s v="A"/>
        <s v="D"/>
        <s v="SD"/>
        <m/>
      </sharedItems>
    </cacheField>
    <cacheField name="Q12A" numFmtId="0">
      <sharedItems containsBlank="1" count="5">
        <s v="A"/>
        <s v="SA"/>
        <s v="D"/>
        <s v="SD"/>
        <m/>
      </sharedItems>
    </cacheField>
    <cacheField name="Q13A" numFmtId="0">
      <sharedItems containsBlank="1" count="5">
        <s v="A"/>
        <s v="D"/>
        <s v="SD"/>
        <s v="SA"/>
        <m/>
      </sharedItems>
    </cacheField>
    <cacheField name="Q14" numFmtId="0">
      <sharedItems containsBlank="1" count="5">
        <s v="D"/>
        <s v="A"/>
        <s v="SD"/>
        <s v="S"/>
        <m/>
      </sharedItems>
    </cacheField>
    <cacheField name="Q15A" numFmtId="0">
      <sharedItems containsBlank="1" count="4">
        <s v="A"/>
        <s v="D"/>
        <s v="SA"/>
        <m/>
      </sharedItems>
    </cacheField>
    <cacheField name="Q16A" numFmtId="0">
      <sharedItems containsBlank="1" count="5">
        <s v="D"/>
        <s v="A"/>
        <s v="SD"/>
        <s v="SA"/>
        <m/>
      </sharedItems>
    </cacheField>
    <cacheField name="Q17D" numFmtId="0">
      <sharedItems containsBlank="1" count="5">
        <s v="A"/>
        <s v="D"/>
        <s v="SD"/>
        <s v="SA"/>
        <m/>
      </sharedItems>
    </cacheField>
    <cacheField name="Q18D" numFmtId="0">
      <sharedItems containsBlank="1" count="4">
        <s v="A"/>
        <s v="D"/>
        <s v="SD"/>
        <m/>
      </sharedItems>
    </cacheField>
    <cacheField name="Q19D" numFmtId="0">
      <sharedItems containsBlank="1" count="5">
        <s v="D"/>
        <s v="A"/>
        <s v="SD"/>
        <s v="SA"/>
        <m/>
      </sharedItems>
    </cacheField>
    <cacheField name="Q20E" numFmtId="0">
      <sharedItems containsBlank="1" count="4">
        <s v="D"/>
        <s v="A"/>
        <s v="SD"/>
        <m/>
      </sharedItems>
    </cacheField>
    <cacheField name="Q21E" numFmtId="0">
      <sharedItems containsBlank="1" count="5">
        <s v="SA"/>
        <s v="D"/>
        <s v="A"/>
        <s v="SD"/>
        <m/>
      </sharedItems>
    </cacheField>
    <cacheField name="Q22E" numFmtId="0">
      <sharedItems containsBlank="1" count="5">
        <s v="A"/>
        <s v="D"/>
        <s v="SD"/>
        <s v="S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0"/>
    <x v="1"/>
    <x v="0"/>
    <x v="1"/>
    <x v="0"/>
    <x v="0"/>
    <x v="0"/>
    <x v="0"/>
    <x v="0"/>
    <x v="1"/>
    <x v="0"/>
    <x v="1"/>
    <x v="0"/>
    <x v="0"/>
    <x v="0"/>
    <x v="0"/>
    <x v="0"/>
    <x v="1"/>
    <x v="0"/>
  </r>
  <r>
    <x v="1"/>
    <x v="0"/>
    <x v="1"/>
    <x v="0"/>
    <x v="1"/>
    <x v="0"/>
    <x v="1"/>
    <x v="0"/>
    <x v="0"/>
    <x v="0"/>
    <x v="0"/>
    <x v="0"/>
    <x v="1"/>
    <x v="0"/>
    <x v="0"/>
    <x v="1"/>
    <x v="0"/>
    <x v="1"/>
    <x v="1"/>
    <x v="1"/>
    <x v="1"/>
    <x v="1"/>
  </r>
  <r>
    <x v="0"/>
    <x v="1"/>
    <x v="2"/>
    <x v="1"/>
    <x v="0"/>
    <x v="0"/>
    <x v="1"/>
    <x v="1"/>
    <x v="0"/>
    <x v="0"/>
    <x v="0"/>
    <x v="0"/>
    <x v="0"/>
    <x v="1"/>
    <x v="0"/>
    <x v="0"/>
    <x v="0"/>
    <x v="1"/>
    <x v="1"/>
    <x v="0"/>
    <x v="2"/>
    <x v="0"/>
  </r>
  <r>
    <x v="0"/>
    <x v="1"/>
    <x v="0"/>
    <x v="1"/>
    <x v="0"/>
    <x v="1"/>
    <x v="2"/>
    <x v="1"/>
    <x v="0"/>
    <x v="0"/>
    <x v="0"/>
    <x v="0"/>
    <x v="0"/>
    <x v="1"/>
    <x v="2"/>
    <x v="0"/>
    <x v="0"/>
    <x v="1"/>
    <x v="1"/>
    <x v="0"/>
    <x v="1"/>
    <x v="1"/>
  </r>
  <r>
    <x v="0"/>
    <x v="1"/>
    <x v="0"/>
    <x v="1"/>
    <x v="0"/>
    <x v="1"/>
    <x v="2"/>
    <x v="1"/>
    <x v="0"/>
    <x v="0"/>
    <x v="0"/>
    <x v="0"/>
    <x v="0"/>
    <x v="0"/>
    <x v="2"/>
    <x v="0"/>
    <x v="0"/>
    <x v="1"/>
    <x v="1"/>
    <x v="0"/>
    <x v="2"/>
    <x v="1"/>
  </r>
  <r>
    <x v="0"/>
    <x v="1"/>
    <x v="2"/>
    <x v="1"/>
    <x v="0"/>
    <x v="0"/>
    <x v="1"/>
    <x v="1"/>
    <x v="0"/>
    <x v="0"/>
    <x v="0"/>
    <x v="0"/>
    <x v="0"/>
    <x v="1"/>
    <x v="0"/>
    <x v="0"/>
    <x v="0"/>
    <x v="1"/>
    <x v="1"/>
    <x v="0"/>
    <x v="2"/>
    <x v="0"/>
  </r>
  <r>
    <x v="0"/>
    <x v="0"/>
    <x v="0"/>
    <x v="1"/>
    <x v="2"/>
    <x v="1"/>
    <x v="2"/>
    <x v="1"/>
    <x v="0"/>
    <x v="1"/>
    <x v="0"/>
    <x v="1"/>
    <x v="0"/>
    <x v="0"/>
    <x v="2"/>
    <x v="0"/>
    <x v="0"/>
    <x v="1"/>
    <x v="1"/>
    <x v="0"/>
    <x v="2"/>
    <x v="2"/>
  </r>
  <r>
    <x v="1"/>
    <x v="0"/>
    <x v="1"/>
    <x v="0"/>
    <x v="1"/>
    <x v="0"/>
    <x v="1"/>
    <x v="0"/>
    <x v="0"/>
    <x v="0"/>
    <x v="0"/>
    <x v="0"/>
    <x v="1"/>
    <x v="1"/>
    <x v="0"/>
    <x v="0"/>
    <x v="0"/>
    <x v="1"/>
    <x v="1"/>
    <x v="0"/>
    <x v="1"/>
    <x v="1"/>
  </r>
  <r>
    <x v="0"/>
    <x v="1"/>
    <x v="0"/>
    <x v="1"/>
    <x v="0"/>
    <x v="0"/>
    <x v="1"/>
    <x v="1"/>
    <x v="0"/>
    <x v="0"/>
    <x v="0"/>
    <x v="0"/>
    <x v="0"/>
    <x v="1"/>
    <x v="0"/>
    <x v="0"/>
    <x v="0"/>
    <x v="1"/>
    <x v="1"/>
    <x v="0"/>
    <x v="2"/>
    <x v="0"/>
  </r>
  <r>
    <x v="1"/>
    <x v="0"/>
    <x v="1"/>
    <x v="0"/>
    <x v="1"/>
    <x v="0"/>
    <x v="1"/>
    <x v="0"/>
    <x v="0"/>
    <x v="0"/>
    <x v="0"/>
    <x v="0"/>
    <x v="1"/>
    <x v="0"/>
    <x v="0"/>
    <x v="0"/>
    <x v="0"/>
    <x v="0"/>
    <x v="0"/>
    <x v="0"/>
    <x v="1"/>
    <x v="1"/>
  </r>
  <r>
    <x v="0"/>
    <x v="1"/>
    <x v="0"/>
    <x v="0"/>
    <x v="0"/>
    <x v="0"/>
    <x v="1"/>
    <x v="0"/>
    <x v="0"/>
    <x v="0"/>
    <x v="0"/>
    <x v="0"/>
    <x v="0"/>
    <x v="1"/>
    <x v="2"/>
    <x v="0"/>
    <x v="0"/>
    <x v="1"/>
    <x v="0"/>
    <x v="0"/>
    <x v="0"/>
    <x v="0"/>
  </r>
  <r>
    <x v="1"/>
    <x v="0"/>
    <x v="1"/>
    <x v="0"/>
    <x v="1"/>
    <x v="0"/>
    <x v="1"/>
    <x v="0"/>
    <x v="1"/>
    <x v="0"/>
    <x v="0"/>
    <x v="0"/>
    <x v="0"/>
    <x v="1"/>
    <x v="0"/>
    <x v="0"/>
    <x v="0"/>
    <x v="0"/>
    <x v="0"/>
    <x v="0"/>
    <x v="1"/>
    <x v="1"/>
  </r>
  <r>
    <x v="1"/>
    <x v="0"/>
    <x v="1"/>
    <x v="0"/>
    <x v="1"/>
    <x v="0"/>
    <x v="1"/>
    <x v="0"/>
    <x v="1"/>
    <x v="0"/>
    <x v="0"/>
    <x v="0"/>
    <x v="0"/>
    <x v="1"/>
    <x v="0"/>
    <x v="0"/>
    <x v="0"/>
    <x v="0"/>
    <x v="0"/>
    <x v="0"/>
    <x v="1"/>
    <x v="1"/>
  </r>
  <r>
    <x v="1"/>
    <x v="0"/>
    <x v="1"/>
    <x v="0"/>
    <x v="1"/>
    <x v="0"/>
    <x v="1"/>
    <x v="0"/>
    <x v="0"/>
    <x v="0"/>
    <x v="0"/>
    <x v="0"/>
    <x v="0"/>
    <x v="1"/>
    <x v="0"/>
    <x v="1"/>
    <x v="0"/>
    <x v="1"/>
    <x v="0"/>
    <x v="0"/>
    <x v="1"/>
    <x v="0"/>
  </r>
  <r>
    <x v="1"/>
    <x v="0"/>
    <x v="1"/>
    <x v="0"/>
    <x v="1"/>
    <x v="0"/>
    <x v="1"/>
    <x v="0"/>
    <x v="0"/>
    <x v="0"/>
    <x v="0"/>
    <x v="0"/>
    <x v="1"/>
    <x v="0"/>
    <x v="0"/>
    <x v="0"/>
    <x v="0"/>
    <x v="0"/>
    <x v="0"/>
    <x v="0"/>
    <x v="1"/>
    <x v="0"/>
  </r>
  <r>
    <x v="1"/>
    <x v="0"/>
    <x v="1"/>
    <x v="0"/>
    <x v="1"/>
    <x v="0"/>
    <x v="1"/>
    <x v="0"/>
    <x v="0"/>
    <x v="0"/>
    <x v="0"/>
    <x v="0"/>
    <x v="1"/>
    <x v="0"/>
    <x v="0"/>
    <x v="0"/>
    <x v="0"/>
    <x v="0"/>
    <x v="0"/>
    <x v="0"/>
    <x v="1"/>
    <x v="1"/>
  </r>
  <r>
    <x v="2"/>
    <x v="2"/>
    <x v="3"/>
    <x v="2"/>
    <x v="3"/>
    <x v="0"/>
    <x v="1"/>
    <x v="0"/>
    <x v="1"/>
    <x v="2"/>
    <x v="1"/>
    <x v="0"/>
    <x v="0"/>
    <x v="1"/>
    <x v="0"/>
    <x v="1"/>
    <x v="0"/>
    <x v="0"/>
    <x v="1"/>
    <x v="1"/>
    <x v="2"/>
    <x v="0"/>
  </r>
  <r>
    <x v="0"/>
    <x v="0"/>
    <x v="1"/>
    <x v="0"/>
    <x v="1"/>
    <x v="0"/>
    <x v="1"/>
    <x v="0"/>
    <x v="1"/>
    <x v="2"/>
    <x v="1"/>
    <x v="2"/>
    <x v="1"/>
    <x v="0"/>
    <x v="1"/>
    <x v="0"/>
    <x v="0"/>
    <x v="0"/>
    <x v="1"/>
    <x v="0"/>
    <x v="1"/>
    <x v="1"/>
  </r>
  <r>
    <x v="0"/>
    <x v="1"/>
    <x v="0"/>
    <x v="1"/>
    <x v="0"/>
    <x v="1"/>
    <x v="2"/>
    <x v="1"/>
    <x v="1"/>
    <x v="2"/>
    <x v="0"/>
    <x v="0"/>
    <x v="0"/>
    <x v="1"/>
    <x v="0"/>
    <x v="0"/>
    <x v="0"/>
    <x v="1"/>
    <x v="1"/>
    <x v="1"/>
    <x v="1"/>
    <x v="1"/>
  </r>
  <r>
    <x v="0"/>
    <x v="1"/>
    <x v="0"/>
    <x v="1"/>
    <x v="0"/>
    <x v="2"/>
    <x v="2"/>
    <x v="1"/>
    <x v="0"/>
    <x v="0"/>
    <x v="0"/>
    <x v="0"/>
    <x v="0"/>
    <x v="1"/>
    <x v="2"/>
    <x v="0"/>
    <x v="1"/>
    <x v="0"/>
    <x v="1"/>
    <x v="0"/>
    <x v="1"/>
    <x v="1"/>
  </r>
  <r>
    <x v="2"/>
    <x v="2"/>
    <x v="1"/>
    <x v="0"/>
    <x v="1"/>
    <x v="0"/>
    <x v="1"/>
    <x v="0"/>
    <x v="0"/>
    <x v="0"/>
    <x v="0"/>
    <x v="0"/>
    <x v="0"/>
    <x v="1"/>
    <x v="1"/>
    <x v="0"/>
    <x v="0"/>
    <x v="1"/>
    <x v="0"/>
    <x v="0"/>
    <x v="2"/>
    <x v="0"/>
  </r>
  <r>
    <x v="1"/>
    <x v="0"/>
    <x v="0"/>
    <x v="2"/>
    <x v="3"/>
    <x v="3"/>
    <x v="0"/>
    <x v="2"/>
    <x v="0"/>
    <x v="0"/>
    <x v="0"/>
    <x v="3"/>
    <x v="2"/>
    <x v="2"/>
    <x v="0"/>
    <x v="2"/>
    <x v="2"/>
    <x v="2"/>
    <x v="2"/>
    <x v="2"/>
    <x v="2"/>
    <x v="2"/>
  </r>
  <r>
    <x v="1"/>
    <x v="0"/>
    <x v="1"/>
    <x v="0"/>
    <x v="1"/>
    <x v="0"/>
    <x v="1"/>
    <x v="0"/>
    <x v="1"/>
    <x v="2"/>
    <x v="1"/>
    <x v="0"/>
    <x v="2"/>
    <x v="2"/>
    <x v="0"/>
    <x v="1"/>
    <x v="0"/>
    <x v="0"/>
    <x v="1"/>
    <x v="1"/>
    <x v="0"/>
    <x v="0"/>
  </r>
  <r>
    <x v="0"/>
    <x v="1"/>
    <x v="0"/>
    <x v="1"/>
    <x v="0"/>
    <x v="0"/>
    <x v="1"/>
    <x v="0"/>
    <x v="0"/>
    <x v="0"/>
    <x v="0"/>
    <x v="0"/>
    <x v="0"/>
    <x v="1"/>
    <x v="2"/>
    <x v="1"/>
    <x v="0"/>
    <x v="1"/>
    <x v="1"/>
    <x v="0"/>
    <x v="0"/>
    <x v="0"/>
  </r>
  <r>
    <x v="0"/>
    <x v="1"/>
    <x v="0"/>
    <x v="1"/>
    <x v="0"/>
    <x v="1"/>
    <x v="2"/>
    <x v="1"/>
    <x v="0"/>
    <x v="0"/>
    <x v="0"/>
    <x v="0"/>
    <x v="1"/>
    <x v="0"/>
    <x v="0"/>
    <x v="1"/>
    <x v="0"/>
    <x v="0"/>
    <x v="1"/>
    <x v="1"/>
    <x v="2"/>
    <x v="0"/>
  </r>
  <r>
    <x v="3"/>
    <x v="3"/>
    <x v="0"/>
    <x v="3"/>
    <x v="0"/>
    <x v="1"/>
    <x v="2"/>
    <x v="1"/>
    <x v="0"/>
    <x v="0"/>
    <x v="0"/>
    <x v="0"/>
    <x v="0"/>
    <x v="1"/>
    <x v="0"/>
    <x v="0"/>
    <x v="0"/>
    <x v="1"/>
    <x v="1"/>
    <x v="0"/>
    <x v="1"/>
    <x v="1"/>
  </r>
  <r>
    <x v="1"/>
    <x v="0"/>
    <x v="1"/>
    <x v="0"/>
    <x v="1"/>
    <x v="0"/>
    <x v="1"/>
    <x v="0"/>
    <x v="2"/>
    <x v="3"/>
    <x v="2"/>
    <x v="3"/>
    <x v="1"/>
    <x v="0"/>
    <x v="2"/>
    <x v="0"/>
    <x v="0"/>
    <x v="1"/>
    <x v="0"/>
    <x v="1"/>
    <x v="2"/>
    <x v="3"/>
  </r>
  <r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0"/>
    <x v="1"/>
    <x v="1"/>
    <x v="2"/>
    <x v="1"/>
    <x v="1"/>
    <x v="2"/>
    <x v="1"/>
    <x v="0"/>
    <x v="0"/>
    <x v="1"/>
    <x v="0"/>
    <x v="0"/>
    <x v="0"/>
    <x v="1"/>
    <x v="2"/>
    <x v="1"/>
    <x v="1"/>
    <x v="1"/>
  </r>
  <r>
    <x v="1"/>
    <x v="0"/>
    <x v="1"/>
    <x v="0"/>
    <x v="1"/>
    <x v="0"/>
    <x v="1"/>
    <x v="0"/>
    <x v="1"/>
    <x v="0"/>
    <x v="0"/>
    <x v="2"/>
    <x v="1"/>
    <x v="1"/>
    <x v="1"/>
    <x v="0"/>
    <x v="1"/>
    <x v="1"/>
    <x v="1"/>
    <x v="0"/>
    <x v="1"/>
    <x v="0"/>
  </r>
  <r>
    <x v="1"/>
    <x v="0"/>
    <x v="1"/>
    <x v="0"/>
    <x v="1"/>
    <x v="0"/>
    <x v="1"/>
    <x v="0"/>
    <x v="1"/>
    <x v="2"/>
    <x v="1"/>
    <x v="0"/>
    <x v="1"/>
    <x v="0"/>
    <x v="0"/>
    <x v="0"/>
    <x v="0"/>
    <x v="1"/>
    <x v="1"/>
    <x v="1"/>
    <x v="2"/>
    <x v="0"/>
  </r>
  <r>
    <x v="2"/>
    <x v="0"/>
    <x v="3"/>
    <x v="2"/>
    <x v="0"/>
    <x v="1"/>
    <x v="2"/>
    <x v="1"/>
    <x v="0"/>
    <x v="0"/>
    <x v="1"/>
    <x v="0"/>
    <x v="0"/>
    <x v="1"/>
    <x v="0"/>
    <x v="0"/>
    <x v="1"/>
    <x v="1"/>
    <x v="1"/>
    <x v="0"/>
    <x v="0"/>
    <x v="3"/>
  </r>
  <r>
    <x v="3"/>
    <x v="1"/>
    <x v="1"/>
    <x v="2"/>
    <x v="3"/>
    <x v="1"/>
    <x v="3"/>
    <x v="3"/>
    <x v="3"/>
    <x v="0"/>
    <x v="1"/>
    <x v="3"/>
    <x v="3"/>
    <x v="3"/>
    <x v="1"/>
    <x v="1"/>
    <x v="2"/>
    <x v="0"/>
    <x v="3"/>
    <x v="0"/>
    <x v="3"/>
    <x v="0"/>
  </r>
  <r>
    <x v="1"/>
    <x v="0"/>
    <x v="1"/>
    <x v="0"/>
    <x v="1"/>
    <x v="0"/>
    <x v="1"/>
    <x v="0"/>
    <x v="0"/>
    <x v="0"/>
    <x v="0"/>
    <x v="0"/>
    <x v="1"/>
    <x v="0"/>
    <x v="0"/>
    <x v="0"/>
    <x v="0"/>
    <x v="1"/>
    <x v="1"/>
    <x v="0"/>
    <x v="1"/>
    <x v="0"/>
  </r>
  <r>
    <x v="1"/>
    <x v="0"/>
    <x v="1"/>
    <x v="0"/>
    <x v="1"/>
    <x v="1"/>
    <x v="2"/>
    <x v="1"/>
    <x v="1"/>
    <x v="2"/>
    <x v="1"/>
    <x v="0"/>
    <x v="0"/>
    <x v="1"/>
    <x v="0"/>
    <x v="0"/>
    <x v="0"/>
    <x v="1"/>
    <x v="2"/>
    <x v="1"/>
    <x v="1"/>
    <x v="1"/>
  </r>
  <r>
    <x v="1"/>
    <x v="0"/>
    <x v="1"/>
    <x v="1"/>
    <x v="0"/>
    <x v="0"/>
    <x v="1"/>
    <x v="0"/>
    <x v="0"/>
    <x v="0"/>
    <x v="1"/>
    <x v="0"/>
    <x v="1"/>
    <x v="0"/>
    <x v="0"/>
    <x v="0"/>
    <x v="1"/>
    <x v="0"/>
    <x v="1"/>
    <x v="0"/>
    <x v="2"/>
    <x v="1"/>
  </r>
  <r>
    <x v="0"/>
    <x v="1"/>
    <x v="1"/>
    <x v="1"/>
    <x v="1"/>
    <x v="1"/>
    <x v="2"/>
    <x v="1"/>
    <x v="0"/>
    <x v="0"/>
    <x v="0"/>
    <x v="0"/>
    <x v="0"/>
    <x v="1"/>
    <x v="0"/>
    <x v="1"/>
    <x v="0"/>
    <x v="0"/>
    <x v="1"/>
    <x v="1"/>
    <x v="2"/>
    <x v="0"/>
  </r>
  <r>
    <x v="1"/>
    <x v="0"/>
    <x v="2"/>
    <x v="3"/>
    <x v="0"/>
    <x v="3"/>
    <x v="1"/>
    <x v="0"/>
    <x v="1"/>
    <x v="2"/>
    <x v="1"/>
    <x v="0"/>
    <x v="0"/>
    <x v="1"/>
    <x v="1"/>
    <x v="0"/>
    <x v="1"/>
    <x v="1"/>
    <x v="1"/>
    <x v="1"/>
    <x v="2"/>
    <x v="0"/>
  </r>
  <r>
    <x v="2"/>
    <x v="2"/>
    <x v="3"/>
    <x v="2"/>
    <x v="3"/>
    <x v="3"/>
    <x v="3"/>
    <x v="2"/>
    <x v="1"/>
    <x v="2"/>
    <x v="1"/>
    <x v="1"/>
    <x v="1"/>
    <x v="0"/>
    <x v="0"/>
    <x v="2"/>
    <x v="3"/>
    <x v="2"/>
    <x v="3"/>
    <x v="2"/>
    <x v="0"/>
    <x v="3"/>
  </r>
  <r>
    <x v="1"/>
    <x v="0"/>
    <x v="1"/>
    <x v="0"/>
    <x v="1"/>
    <x v="0"/>
    <x v="1"/>
    <x v="0"/>
    <x v="1"/>
    <x v="2"/>
    <x v="1"/>
    <x v="0"/>
    <x v="1"/>
    <x v="0"/>
    <x v="0"/>
    <x v="0"/>
    <x v="0"/>
    <x v="1"/>
    <x v="1"/>
    <x v="1"/>
    <x v="1"/>
    <x v="0"/>
  </r>
  <r>
    <x v="0"/>
    <x v="0"/>
    <x v="0"/>
    <x v="1"/>
    <x v="0"/>
    <x v="1"/>
    <x v="2"/>
    <x v="3"/>
    <x v="0"/>
    <x v="0"/>
    <x v="0"/>
    <x v="0"/>
    <x v="3"/>
    <x v="3"/>
    <x v="2"/>
    <x v="3"/>
    <x v="3"/>
    <x v="1"/>
    <x v="3"/>
    <x v="0"/>
    <x v="1"/>
    <x v="1"/>
  </r>
  <r>
    <x v="1"/>
    <x v="0"/>
    <x v="0"/>
    <x v="2"/>
    <x v="3"/>
    <x v="3"/>
    <x v="0"/>
    <x v="2"/>
    <x v="0"/>
    <x v="0"/>
    <x v="0"/>
    <x v="3"/>
    <x v="2"/>
    <x v="2"/>
    <x v="0"/>
    <x v="2"/>
    <x v="2"/>
    <x v="2"/>
    <x v="2"/>
    <x v="2"/>
    <x v="2"/>
    <x v="2"/>
  </r>
  <r>
    <x v="0"/>
    <x v="1"/>
    <x v="2"/>
    <x v="1"/>
    <x v="0"/>
    <x v="0"/>
    <x v="1"/>
    <x v="1"/>
    <x v="0"/>
    <x v="0"/>
    <x v="0"/>
    <x v="0"/>
    <x v="0"/>
    <x v="1"/>
    <x v="0"/>
    <x v="0"/>
    <x v="0"/>
    <x v="1"/>
    <x v="1"/>
    <x v="0"/>
    <x v="2"/>
    <x v="0"/>
  </r>
  <r>
    <x v="1"/>
    <x v="0"/>
    <x v="0"/>
    <x v="2"/>
    <x v="3"/>
    <x v="3"/>
    <x v="0"/>
    <x v="2"/>
    <x v="0"/>
    <x v="0"/>
    <x v="0"/>
    <x v="3"/>
    <x v="2"/>
    <x v="2"/>
    <x v="0"/>
    <x v="2"/>
    <x v="2"/>
    <x v="2"/>
    <x v="2"/>
    <x v="2"/>
    <x v="2"/>
    <x v="2"/>
  </r>
  <r>
    <x v="0"/>
    <x v="1"/>
    <x v="0"/>
    <x v="1"/>
    <x v="0"/>
    <x v="1"/>
    <x v="2"/>
    <x v="1"/>
    <x v="0"/>
    <x v="0"/>
    <x v="0"/>
    <x v="0"/>
    <x v="0"/>
    <x v="1"/>
    <x v="0"/>
    <x v="0"/>
    <x v="0"/>
    <x v="1"/>
    <x v="1"/>
    <x v="0"/>
    <x v="1"/>
    <x v="1"/>
  </r>
  <r>
    <x v="4"/>
    <x v="4"/>
    <x v="4"/>
    <x v="4"/>
    <x v="4"/>
    <x v="4"/>
    <x v="4"/>
    <x v="4"/>
    <x v="4"/>
    <x v="4"/>
    <x v="3"/>
    <x v="4"/>
    <x v="4"/>
    <x v="4"/>
    <x v="3"/>
    <x v="4"/>
    <x v="4"/>
    <x v="3"/>
    <x v="4"/>
    <x v="3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BBBD1-0CB3-4151-87A8-3736D5348E7B}" name="PivotTable6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27:K32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6C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38A87-4224-4D12-BDBF-38EE7188B194}" name="PivotTable6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7:E32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4C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AB57F-0035-4058-9246-BF8CFE22413F}" name="PivotTable5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1:E16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axis="axisRow" dataField="1"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6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19134-2628-47CB-9AD9-0FE02B511B3B}" name="PivotTable7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3:B48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0"/>
        <item x="3"/>
        <item h="1" x="4"/>
        <item t="default"/>
      </items>
    </pivotField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21E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53825-5674-4832-ABB0-8259AA704153}" name="PivotTable6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9:H23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11B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A4454-D712-4845-8026-88136EDBEB51}" name="PivotTable6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1:K16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8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85DC1-8252-459B-87B1-3EB2993303A2}" name="PivotTable7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5:E39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18D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8B1BA-FE27-486F-B6EF-EA42A69CEE30}" name="PivotTable5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8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2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A3DAA-521C-4F95-AF7D-31337DFF3C6F}" name="PivotTable6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B24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9B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F8611-F33E-40AB-82BA-41EABE4D46EF}" name="PivotTable7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43:E48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3"/>
        <item x="2"/>
        <item h="1" x="4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22E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7BA14-5FD5-41D1-A5D1-C71A037CD071}" name="PivotTable7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5:B40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Row" dataField="1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7D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78CC2-5D82-404B-BFDF-9DDE717CF9B3}" name="PivotTable6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1:H16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dataField="1" showAll="0">
      <items count="6">
        <item x="2"/>
        <item x="1"/>
        <item x="3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7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1D0A4-ADCF-436D-AF8A-CB588EDD9ED7}" name="PivotTable5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B16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Row" dataField="1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5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CEF37-4B8F-42F2-9CF1-6E28DF2A2AE7}" name="PivotTable5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K8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4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58E76-F2CD-4F75-BE37-924BAEEF58FA}" name="PivotTable7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5:H40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9D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DBB70-6131-4BC2-8C9C-D40A38B55C80}" name="PivotTable7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5:K39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20E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8674A-E0CC-4FD8-845A-1FD524270F3C}" name="PivotTable6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7:B32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axis="axisRow" dataField="1" showAll="0">
      <items count="6">
        <item x="0"/>
        <item x="1"/>
        <item x="3"/>
        <item x="2"/>
        <item h="1"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3C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E4EDD-597F-4A73-95F6-CA373A1D5262}" name="PivotTable6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9:K24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2B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720A9-D817-44AB-BD03-322EDE51925A}" name="PivotTable6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7:H31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15C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61C36-AC4B-4BF8-AADE-3599A106E66F}" name="PivotTable6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9:E24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0B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2380-79AD-4F59-A7AF-544E26082989}" name="PivotTable5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8" firstHeaderRow="1" firstDataRow="1" firstDataCol="1"/>
  <pivotFields count="22"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axis="axisRow" dataField="1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3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6C6A9-E32B-4112-97C0-00E24553C698}" name="PivotTable5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2">
    <pivotField axis="axisRow" dataField="1" showAll="0">
      <items count="6">
        <item x="0"/>
        <item x="1"/>
        <item x="3"/>
        <item x="2"/>
        <item h="1"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14906-CB78-43F5-8DCC-354D22EA927B}" name="Table13" displayName="Table13" ref="A1:V47" totalsRowShown="0">
  <autoFilter ref="A1:V47" xr:uid="{F7814906-CB78-43F5-8DCC-354D22EA927B}"/>
  <tableColumns count="22">
    <tableColumn id="1" xr3:uid="{BFE33B23-CD15-47DB-AEB9-27130E5E61DF}" name="Q1A" dataDxfId="0"/>
    <tableColumn id="2" xr3:uid="{390D1676-F47E-4571-83EE-1FB4E68ECBD4}" name="Q2A"/>
    <tableColumn id="3" xr3:uid="{02A29BDF-A0E5-42D3-BB5A-90FF266C3E3D}" name="Q3A"/>
    <tableColumn id="4" xr3:uid="{494A5748-AC4D-4F08-96E2-A9A361834C95}" name="Q4A"/>
    <tableColumn id="5" xr3:uid="{DA296DE8-69B8-435F-B821-1417D87A35BD}" name="Q5A"/>
    <tableColumn id="6" xr3:uid="{0509EE41-BBEE-472A-AB78-85321E3AF3C0}" name="Q6A"/>
    <tableColumn id="7" xr3:uid="{6C983F7D-6FAA-4941-BA48-FD8BA6B54646}" name="Q7A"/>
    <tableColumn id="8" xr3:uid="{E102E5C0-C52C-4D78-A27A-951E8335D146}" name="Q8A"/>
    <tableColumn id="9" xr3:uid="{252825AC-9168-4451-8FF9-03C39A1DD69B}" name="Q9A"/>
    <tableColumn id="10" xr3:uid="{6CB73BA3-2B19-44F4-8C30-EFA217E8E80F}" name="Q10A"/>
    <tableColumn id="11" xr3:uid="{E7FB94FA-384D-4C7F-B303-E29C08484051}" name="Q11A"/>
    <tableColumn id="12" xr3:uid="{9713F2B0-A79E-47C1-9E98-0978D3F46ECD}" name="Q12A"/>
    <tableColumn id="13" xr3:uid="{CB3271A2-9014-46D0-8CC3-3413C8AA9151}" name="Q13A"/>
    <tableColumn id="14" xr3:uid="{47C0F1FA-2BF0-49F7-BD86-B1CD9BDBAEC6}" name="Q14"/>
    <tableColumn id="15" xr3:uid="{D383F6EE-9EF5-43C4-99CF-1D4F1D998C7B}" name="Q15A"/>
    <tableColumn id="16" xr3:uid="{C599AEB1-A510-40D2-98E3-11C9B65B9C27}" name="Q16A"/>
    <tableColumn id="17" xr3:uid="{A551D1FC-07FB-4D2F-ACC8-6C6A4A777ACC}" name="Q17D"/>
    <tableColumn id="18" xr3:uid="{3331B594-4699-4FC3-94EC-7884095CC005}" name="Q18D"/>
    <tableColumn id="19" xr3:uid="{0DC10BA5-62EF-4CF4-8212-368B18DC17DD}" name="Q19D"/>
    <tableColumn id="20" xr3:uid="{74F9EB85-798C-4C6A-82F8-2CA9F52B5687}" name="Q20E"/>
    <tableColumn id="21" xr3:uid="{322CD221-B8B4-4C75-B21C-B88F917879C5}" name="Q21E"/>
    <tableColumn id="22" xr3:uid="{C503A928-86AB-4952-840D-0D452344EA86}" name="Q22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7C3FC9-1EFF-4E75-A00F-3014A76714F0}" name="Table2" displayName="Table2" ref="A1:V16" totalsRowShown="0">
  <autoFilter ref="A1:V16" xr:uid="{177C3FC9-1EFF-4E75-A00F-3014A76714F0}"/>
  <tableColumns count="22">
    <tableColumn id="1" xr3:uid="{CCC496B6-0AE9-40C1-BFF3-4C2B0C6E8447}" name="Q1A"/>
    <tableColumn id="2" xr3:uid="{BAF0364C-3A06-4378-A7A2-E723BCE3EFF5}" name="Q2A"/>
    <tableColumn id="3" xr3:uid="{64AB4C04-6FF0-4833-9AF6-5BBB7D96D6F6}" name="Q3A"/>
    <tableColumn id="4" xr3:uid="{20550D7B-3809-49A3-98BD-E50949CA7B55}" name="Q4A"/>
    <tableColumn id="5" xr3:uid="{5CED2822-6EC4-4CD0-9DC2-25A037EF354E}" name="Q5A"/>
    <tableColumn id="6" xr3:uid="{69B9052E-AD23-4159-80CC-8C8718D145BA}" name="Q6A"/>
    <tableColumn id="7" xr3:uid="{589A6D09-4FA3-46EC-B53F-EE72BC8264EF}" name="Q7A"/>
    <tableColumn id="8" xr3:uid="{70C68C39-A0AB-4826-B024-DED308112DDC}" name="Q8A"/>
    <tableColumn id="9" xr3:uid="{30F22352-C2F6-449E-A6E9-ECD48187D4A7}" name="Q9A"/>
    <tableColumn id="10" xr3:uid="{4321F348-7A2E-4977-958E-890EA226BFCD}" name="Q10A"/>
    <tableColumn id="11" xr3:uid="{6B028C57-CEF5-47FD-B167-C1C41A865E2E}" name="Q11A"/>
    <tableColumn id="12" xr3:uid="{087AA0C0-2562-4FDE-8E9E-EDDC162DDB75}" name="Q12A"/>
    <tableColumn id="13" xr3:uid="{F2E70A7D-AD32-4447-98CE-83C0A266A7DF}" name="Q13A"/>
    <tableColumn id="14" xr3:uid="{C1A6DB51-341C-4F32-A22F-38CF93B965F0}" name="Q14"/>
    <tableColumn id="15" xr3:uid="{0CE1ECB8-A2BE-45EB-82A7-9F7A7D4F786E}" name="Q15A"/>
    <tableColumn id="16" xr3:uid="{1589EC21-F9D1-4A3D-ACF7-0F02346EE8C3}" name="Q16A"/>
    <tableColumn id="17" xr3:uid="{5E3666ED-3C6A-4699-B990-11C4970D9999}" name="Q17D"/>
    <tableColumn id="18" xr3:uid="{EBEAAF0D-B523-4423-B192-CC801CF54999}" name="Q18D"/>
    <tableColumn id="19" xr3:uid="{9A3A278F-5411-4AAB-9AC6-3B569154EE70}" name="Q19D"/>
    <tableColumn id="20" xr3:uid="{D4B329C8-D97D-48E7-A34E-A8C34518221A}" name="Q20E"/>
    <tableColumn id="21" xr3:uid="{E8FFDE76-8987-455A-B38B-5B1C82CF88E0}" name="Q21E"/>
    <tableColumn id="22" xr3:uid="{C6ED07D3-7203-4EA6-8EBF-A849499FC9DA}" name="Q22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9237C-1DE7-45A4-9F9C-416EE99E44CB}" name="Table3" displayName="Table3" ref="A1:V16" totalsRowShown="0">
  <autoFilter ref="A1:V16" xr:uid="{35C9237C-1DE7-45A4-9F9C-416EE99E44CB}"/>
  <tableColumns count="22">
    <tableColumn id="1" xr3:uid="{565E4653-73D8-40C9-A241-7B0EE6D0BCCB}" name="Q1A"/>
    <tableColumn id="2" xr3:uid="{570D03E1-1168-4791-A0AE-444805329A75}" name="Q2A"/>
    <tableColumn id="3" xr3:uid="{4EF008EB-5C2F-4D4C-892B-FC9C925BD39B}" name="Q3A"/>
    <tableColumn id="4" xr3:uid="{66DD07C9-A6BB-40DC-BC20-165153BE8EC4}" name="Q4A"/>
    <tableColumn id="5" xr3:uid="{DCD2141B-C3F4-490E-9EB9-DE50ABC73420}" name="Q5A"/>
    <tableColumn id="6" xr3:uid="{497F805F-05DF-4A25-ACEE-B2E3B2971B37}" name="Q6A"/>
    <tableColumn id="7" xr3:uid="{14BDB2F1-83E1-447D-BAF9-DC1EB656483E}" name="Q7A"/>
    <tableColumn id="8" xr3:uid="{A0E62067-4E99-40F7-A94A-A6BF4A5F949F}" name="Q8A"/>
    <tableColumn id="9" xr3:uid="{F0686EDD-71B7-4175-82F2-6353246268A7}" name="Q9A"/>
    <tableColumn id="10" xr3:uid="{B61176D7-3D56-4201-BCF0-927CAEAA086D}" name="Q10A"/>
    <tableColumn id="11" xr3:uid="{01CE57FE-24D0-45F2-AC5A-9A77FD89E5BA}" name="Q11A"/>
    <tableColumn id="12" xr3:uid="{A9BE4987-B744-4BDD-A419-F3BF3718F814}" name="Q12A"/>
    <tableColumn id="13" xr3:uid="{25E39CE4-A31E-44FE-811D-C800489FE88D}" name="Q13A"/>
    <tableColumn id="14" xr3:uid="{15498BB9-6451-438C-8616-74F8F477ECDB}" name="Q14"/>
    <tableColumn id="15" xr3:uid="{A8094A31-9190-4AEF-B9C3-5A5E10F9058A}" name="Q15A"/>
    <tableColumn id="16" xr3:uid="{3D809223-E214-4AB4-8D68-C4000AA82A68}" name="Q16A"/>
    <tableColumn id="17" xr3:uid="{4752EBB8-23D9-49E1-8237-95153BC6C1F4}" name="Q17D"/>
    <tableColumn id="18" xr3:uid="{9D566505-2A99-4AB6-ABD8-0ACE94CD87A4}" name="Q18D"/>
    <tableColumn id="19" xr3:uid="{5A0F1D96-C6A0-40FA-94DD-0BEF6C55666E}" name="Q19D"/>
    <tableColumn id="20" xr3:uid="{E4C89D87-E5FC-4FEE-B242-6E36A33CC766}" name="Q20E"/>
    <tableColumn id="21" xr3:uid="{6999E1D5-0BDA-4707-A76C-E8115BD83CAB}" name="Q21E"/>
    <tableColumn id="22" xr3:uid="{B7CCCC86-56EA-4E4B-8230-99EBB2F7081B}" name="Q22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CCCE-55FB-40D8-8A0B-EBF4211113C7}">
  <dimension ref="A1:V47"/>
  <sheetViews>
    <sheetView workbookViewId="0">
      <selection activeCell="I21" sqref="I21"/>
    </sheetView>
  </sheetViews>
  <sheetFormatPr defaultRowHeight="14.25" x14ac:dyDescent="0.45"/>
  <sheetData>
    <row r="1" spans="1:22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s="1" t="s">
        <v>22</v>
      </c>
      <c r="B2" t="s">
        <v>23</v>
      </c>
      <c r="C2" t="s">
        <v>22</v>
      </c>
      <c r="D2" t="s">
        <v>23</v>
      </c>
      <c r="E2" t="s">
        <v>22</v>
      </c>
      <c r="F2" t="s">
        <v>23</v>
      </c>
      <c r="G2" t="s">
        <v>24</v>
      </c>
      <c r="H2" t="s">
        <v>23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22</v>
      </c>
      <c r="P2" t="s">
        <v>23</v>
      </c>
      <c r="Q2" t="s">
        <v>22</v>
      </c>
      <c r="R2" t="s">
        <v>22</v>
      </c>
      <c r="S2" t="s">
        <v>23</v>
      </c>
      <c r="T2" t="s">
        <v>23</v>
      </c>
      <c r="U2" t="s">
        <v>25</v>
      </c>
      <c r="V2" t="s">
        <v>22</v>
      </c>
    </row>
    <row r="3" spans="1:22" x14ac:dyDescent="0.45">
      <c r="A3" s="1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22</v>
      </c>
      <c r="J3" t="s">
        <v>22</v>
      </c>
      <c r="K3" t="s">
        <v>22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 t="s">
        <v>23</v>
      </c>
      <c r="T3" t="s">
        <v>23</v>
      </c>
      <c r="U3" t="s">
        <v>23</v>
      </c>
      <c r="V3" t="s">
        <v>22</v>
      </c>
    </row>
    <row r="4" spans="1:22" x14ac:dyDescent="0.45">
      <c r="A4" s="1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22</v>
      </c>
      <c r="J4" t="s">
        <v>22</v>
      </c>
      <c r="K4" t="s">
        <v>22</v>
      </c>
      <c r="L4" t="s">
        <v>22</v>
      </c>
      <c r="M4" t="s">
        <v>23</v>
      </c>
      <c r="N4" t="s">
        <v>23</v>
      </c>
      <c r="O4" t="s">
        <v>22</v>
      </c>
      <c r="P4" t="s">
        <v>22</v>
      </c>
      <c r="Q4" t="s">
        <v>22</v>
      </c>
      <c r="R4" t="s">
        <v>23</v>
      </c>
      <c r="S4" t="s">
        <v>22</v>
      </c>
      <c r="T4" t="s">
        <v>22</v>
      </c>
      <c r="U4" t="s">
        <v>23</v>
      </c>
      <c r="V4" t="s">
        <v>23</v>
      </c>
    </row>
    <row r="5" spans="1:22" x14ac:dyDescent="0.45">
      <c r="A5" s="1" t="s">
        <v>22</v>
      </c>
      <c r="B5" t="s">
        <v>22</v>
      </c>
      <c r="C5" t="s">
        <v>25</v>
      </c>
      <c r="D5" t="s">
        <v>22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23</v>
      </c>
      <c r="Q5" t="s">
        <v>22</v>
      </c>
      <c r="R5" t="s">
        <v>23</v>
      </c>
      <c r="S5" t="s">
        <v>22</v>
      </c>
      <c r="T5" t="s">
        <v>23</v>
      </c>
      <c r="U5" t="s">
        <v>22</v>
      </c>
      <c r="V5" t="s">
        <v>22</v>
      </c>
    </row>
    <row r="6" spans="1:22" x14ac:dyDescent="0.45">
      <c r="A6" s="1" t="s">
        <v>22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23</v>
      </c>
      <c r="Q6" t="s">
        <v>22</v>
      </c>
      <c r="R6" t="s">
        <v>23</v>
      </c>
      <c r="S6" t="s">
        <v>22</v>
      </c>
      <c r="T6" t="s">
        <v>23</v>
      </c>
      <c r="U6" t="s">
        <v>23</v>
      </c>
      <c r="V6" t="s">
        <v>23</v>
      </c>
    </row>
    <row r="7" spans="1:22" x14ac:dyDescent="0.45">
      <c r="A7" s="1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23</v>
      </c>
      <c r="O7" t="s">
        <v>25</v>
      </c>
      <c r="P7" t="s">
        <v>23</v>
      </c>
      <c r="Q7" t="s">
        <v>22</v>
      </c>
      <c r="R7" t="s">
        <v>23</v>
      </c>
      <c r="S7" t="s">
        <v>22</v>
      </c>
      <c r="T7" t="s">
        <v>23</v>
      </c>
      <c r="U7" t="s">
        <v>22</v>
      </c>
      <c r="V7" t="s">
        <v>23</v>
      </c>
    </row>
    <row r="8" spans="1:22" x14ac:dyDescent="0.45">
      <c r="A8" s="1" t="s">
        <v>22</v>
      </c>
      <c r="B8" t="s">
        <v>22</v>
      </c>
      <c r="C8" t="s">
        <v>25</v>
      </c>
      <c r="D8" t="s">
        <v>22</v>
      </c>
      <c r="E8" t="s">
        <v>22</v>
      </c>
      <c r="F8" t="s">
        <v>23</v>
      </c>
      <c r="G8" t="s">
        <v>23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23</v>
      </c>
      <c r="Q8" t="s">
        <v>22</v>
      </c>
      <c r="R8" t="s">
        <v>23</v>
      </c>
      <c r="S8" t="s">
        <v>22</v>
      </c>
      <c r="T8" t="s">
        <v>23</v>
      </c>
      <c r="U8" t="s">
        <v>22</v>
      </c>
      <c r="V8" t="s">
        <v>22</v>
      </c>
    </row>
    <row r="9" spans="1:22" x14ac:dyDescent="0.45">
      <c r="A9" s="1" t="s">
        <v>22</v>
      </c>
      <c r="B9" t="s">
        <v>23</v>
      </c>
      <c r="C9" t="s">
        <v>22</v>
      </c>
      <c r="D9" t="s">
        <v>22</v>
      </c>
      <c r="E9" t="s">
        <v>25</v>
      </c>
      <c r="F9" t="s">
        <v>22</v>
      </c>
      <c r="G9" t="s">
        <v>22</v>
      </c>
      <c r="H9" t="s">
        <v>22</v>
      </c>
      <c r="I9" t="s">
        <v>22</v>
      </c>
      <c r="J9" t="s">
        <v>25</v>
      </c>
      <c r="K9" t="s">
        <v>22</v>
      </c>
      <c r="L9" t="s">
        <v>25</v>
      </c>
      <c r="M9" t="s">
        <v>22</v>
      </c>
      <c r="N9" t="s">
        <v>23</v>
      </c>
      <c r="O9" t="s">
        <v>25</v>
      </c>
      <c r="P9" t="s">
        <v>23</v>
      </c>
      <c r="Q9" t="s">
        <v>22</v>
      </c>
      <c r="R9" t="s">
        <v>23</v>
      </c>
      <c r="S9" t="s">
        <v>22</v>
      </c>
      <c r="T9" t="s">
        <v>23</v>
      </c>
      <c r="U9" t="s">
        <v>22</v>
      </c>
      <c r="V9" t="s">
        <v>24</v>
      </c>
    </row>
    <row r="10" spans="1:22" x14ac:dyDescent="0.45">
      <c r="A10" s="1" t="s">
        <v>23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22</v>
      </c>
      <c r="J10" t="s">
        <v>22</v>
      </c>
      <c r="K10" t="s">
        <v>22</v>
      </c>
      <c r="L10" t="s">
        <v>22</v>
      </c>
      <c r="M10" t="s">
        <v>23</v>
      </c>
      <c r="N10" t="s">
        <v>22</v>
      </c>
      <c r="O10" t="s">
        <v>22</v>
      </c>
      <c r="P10" t="s">
        <v>23</v>
      </c>
      <c r="Q10" t="s">
        <v>22</v>
      </c>
      <c r="R10" t="s">
        <v>23</v>
      </c>
      <c r="S10" t="s">
        <v>22</v>
      </c>
      <c r="T10" t="s">
        <v>23</v>
      </c>
      <c r="U10" t="s">
        <v>23</v>
      </c>
      <c r="V10" t="s">
        <v>23</v>
      </c>
    </row>
    <row r="11" spans="1:22" x14ac:dyDescent="0.45">
      <c r="A11" s="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23</v>
      </c>
      <c r="G11" t="s">
        <v>23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23</v>
      </c>
      <c r="Q11" t="s">
        <v>22</v>
      </c>
      <c r="R11" t="s">
        <v>23</v>
      </c>
      <c r="S11" t="s">
        <v>22</v>
      </c>
      <c r="T11" t="s">
        <v>23</v>
      </c>
      <c r="U11" t="s">
        <v>22</v>
      </c>
      <c r="V11" t="s">
        <v>22</v>
      </c>
    </row>
    <row r="12" spans="1:22" x14ac:dyDescent="0.45">
      <c r="A12" s="1" t="s">
        <v>23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22</v>
      </c>
      <c r="J12" t="s">
        <v>22</v>
      </c>
      <c r="K12" t="s">
        <v>22</v>
      </c>
      <c r="L12" t="s">
        <v>22</v>
      </c>
      <c r="M12" t="s">
        <v>23</v>
      </c>
      <c r="N12" t="s">
        <v>23</v>
      </c>
      <c r="O12" t="s">
        <v>22</v>
      </c>
      <c r="P12" t="s">
        <v>23</v>
      </c>
      <c r="Q12" t="s">
        <v>22</v>
      </c>
      <c r="R12" t="s">
        <v>22</v>
      </c>
      <c r="S12" t="s">
        <v>23</v>
      </c>
      <c r="T12" t="s">
        <v>23</v>
      </c>
      <c r="U12" t="s">
        <v>23</v>
      </c>
      <c r="V12" t="s">
        <v>23</v>
      </c>
    </row>
    <row r="13" spans="1:22" x14ac:dyDescent="0.45">
      <c r="A13" s="1" t="s">
        <v>22</v>
      </c>
      <c r="B13" t="s">
        <v>22</v>
      </c>
      <c r="C13" t="s">
        <v>22</v>
      </c>
      <c r="D13" t="s">
        <v>23</v>
      </c>
      <c r="E13" t="s">
        <v>22</v>
      </c>
      <c r="F13" t="s">
        <v>23</v>
      </c>
      <c r="G13" t="s">
        <v>23</v>
      </c>
      <c r="H13" t="s">
        <v>23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25</v>
      </c>
      <c r="P13" t="s">
        <v>23</v>
      </c>
      <c r="Q13" t="s">
        <v>22</v>
      </c>
      <c r="R13" t="s">
        <v>23</v>
      </c>
      <c r="S13" t="s">
        <v>23</v>
      </c>
      <c r="T13" t="s">
        <v>23</v>
      </c>
      <c r="U13" t="s">
        <v>25</v>
      </c>
      <c r="V13" t="s">
        <v>22</v>
      </c>
    </row>
    <row r="14" spans="1:22" x14ac:dyDescent="0.45">
      <c r="A14" s="1" t="s">
        <v>23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23</v>
      </c>
      <c r="Q14" t="s">
        <v>22</v>
      </c>
      <c r="R14" t="s">
        <v>22</v>
      </c>
      <c r="S14" t="s">
        <v>23</v>
      </c>
      <c r="T14" t="s">
        <v>23</v>
      </c>
      <c r="U14" t="s">
        <v>23</v>
      </c>
      <c r="V14" t="s">
        <v>23</v>
      </c>
    </row>
    <row r="15" spans="1:22" x14ac:dyDescent="0.45">
      <c r="A15" s="1" t="s">
        <v>23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23</v>
      </c>
      <c r="Q15" t="s">
        <v>22</v>
      </c>
      <c r="R15" t="s">
        <v>22</v>
      </c>
      <c r="S15" t="s">
        <v>23</v>
      </c>
      <c r="T15" t="s">
        <v>23</v>
      </c>
      <c r="U15" t="s">
        <v>23</v>
      </c>
      <c r="V15" t="s">
        <v>23</v>
      </c>
    </row>
    <row r="16" spans="1:22" x14ac:dyDescent="0.45">
      <c r="A16" s="1" t="s">
        <v>23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23</v>
      </c>
      <c r="S16" t="s">
        <v>23</v>
      </c>
      <c r="T16" t="s">
        <v>23</v>
      </c>
      <c r="U16" t="s">
        <v>23</v>
      </c>
      <c r="V16" t="s">
        <v>22</v>
      </c>
    </row>
    <row r="17" spans="1:22" x14ac:dyDescent="0.45">
      <c r="A17" s="1" t="s">
        <v>23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22</v>
      </c>
      <c r="J17" t="s">
        <v>22</v>
      </c>
      <c r="K17" t="s">
        <v>22</v>
      </c>
      <c r="L17" t="s">
        <v>22</v>
      </c>
      <c r="M17" t="s">
        <v>23</v>
      </c>
      <c r="N17" t="s">
        <v>23</v>
      </c>
      <c r="O17" t="s">
        <v>22</v>
      </c>
      <c r="P17" t="s">
        <v>23</v>
      </c>
      <c r="Q17" t="s">
        <v>22</v>
      </c>
      <c r="R17" t="s">
        <v>22</v>
      </c>
      <c r="S17" t="s">
        <v>23</v>
      </c>
      <c r="T17" t="s">
        <v>23</v>
      </c>
      <c r="U17" t="s">
        <v>23</v>
      </c>
      <c r="V17" t="s">
        <v>22</v>
      </c>
    </row>
    <row r="18" spans="1:22" x14ac:dyDescent="0.45">
      <c r="A18" s="1" t="s">
        <v>23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22</v>
      </c>
      <c r="J18" t="s">
        <v>22</v>
      </c>
      <c r="K18" t="s">
        <v>22</v>
      </c>
      <c r="L18" t="s">
        <v>22</v>
      </c>
      <c r="M18" t="s">
        <v>23</v>
      </c>
      <c r="N18" t="s">
        <v>23</v>
      </c>
      <c r="O18" t="s">
        <v>22</v>
      </c>
      <c r="P18" t="s">
        <v>23</v>
      </c>
      <c r="Q18" t="s">
        <v>22</v>
      </c>
      <c r="R18" t="s">
        <v>22</v>
      </c>
      <c r="S18" t="s">
        <v>23</v>
      </c>
      <c r="T18" t="s">
        <v>23</v>
      </c>
      <c r="U18" t="s">
        <v>23</v>
      </c>
      <c r="V18" t="s">
        <v>23</v>
      </c>
    </row>
    <row r="19" spans="1:22" x14ac:dyDescent="0.45">
      <c r="A19" s="1" t="s">
        <v>24</v>
      </c>
      <c r="B19" t="s">
        <v>24</v>
      </c>
      <c r="C19" t="s">
        <v>24</v>
      </c>
      <c r="D19" t="s">
        <v>24</v>
      </c>
      <c r="E19" t="s">
        <v>24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45">
      <c r="A20" s="1" t="s">
        <v>22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 t="s">
        <v>22</v>
      </c>
      <c r="T20" t="s">
        <v>23</v>
      </c>
      <c r="U20" t="s">
        <v>23</v>
      </c>
      <c r="V20" t="s">
        <v>23</v>
      </c>
    </row>
    <row r="21" spans="1:22" x14ac:dyDescent="0.45">
      <c r="A21" s="1" t="s">
        <v>22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23</v>
      </c>
      <c r="J21" t="s">
        <v>23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23</v>
      </c>
      <c r="Q21" t="s">
        <v>22</v>
      </c>
      <c r="R21" t="s">
        <v>23</v>
      </c>
      <c r="S21" t="s">
        <v>22</v>
      </c>
      <c r="T21" t="s">
        <v>22</v>
      </c>
      <c r="U21" t="s">
        <v>23</v>
      </c>
      <c r="V21" t="s">
        <v>23</v>
      </c>
    </row>
    <row r="22" spans="1:22" x14ac:dyDescent="0.45">
      <c r="A22" s="1" t="s">
        <v>22</v>
      </c>
      <c r="B22" t="s">
        <v>22</v>
      </c>
      <c r="C22" t="s">
        <v>22</v>
      </c>
      <c r="D22" t="s">
        <v>22</v>
      </c>
      <c r="E22" t="s">
        <v>22</v>
      </c>
      <c r="F22" t="s">
        <v>25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25</v>
      </c>
      <c r="P22" t="s">
        <v>23</v>
      </c>
      <c r="Q22" t="s">
        <v>23</v>
      </c>
      <c r="R22" t="s">
        <v>22</v>
      </c>
      <c r="S22" t="s">
        <v>22</v>
      </c>
      <c r="T22" t="s">
        <v>23</v>
      </c>
      <c r="U22" t="s">
        <v>23</v>
      </c>
      <c r="V22" t="s">
        <v>23</v>
      </c>
    </row>
    <row r="23" spans="1:22" x14ac:dyDescent="0.45">
      <c r="A23" s="1" t="s">
        <v>24</v>
      </c>
      <c r="B23" t="s">
        <v>24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23</v>
      </c>
      <c r="P23" t="s">
        <v>23</v>
      </c>
      <c r="Q23" t="s">
        <v>22</v>
      </c>
      <c r="R23" t="s">
        <v>23</v>
      </c>
      <c r="S23" t="s">
        <v>23</v>
      </c>
      <c r="T23" t="s">
        <v>23</v>
      </c>
      <c r="U23" t="s">
        <v>22</v>
      </c>
      <c r="V23" t="s">
        <v>22</v>
      </c>
    </row>
    <row r="24" spans="1:22" x14ac:dyDescent="0.45">
      <c r="A24" s="1" t="s">
        <v>23</v>
      </c>
      <c r="B24" t="s">
        <v>23</v>
      </c>
      <c r="C24" t="s">
        <v>22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22</v>
      </c>
      <c r="J24" t="s">
        <v>22</v>
      </c>
      <c r="K24" t="s">
        <v>22</v>
      </c>
      <c r="L24" t="s">
        <v>24</v>
      </c>
      <c r="M24" t="s">
        <v>24</v>
      </c>
      <c r="N24" t="s">
        <v>24</v>
      </c>
      <c r="O24" t="s">
        <v>22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22</v>
      </c>
      <c r="V24" t="s">
        <v>24</v>
      </c>
    </row>
    <row r="25" spans="1:22" x14ac:dyDescent="0.45">
      <c r="A25" s="1" t="s">
        <v>23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t="s">
        <v>22</v>
      </c>
      <c r="M25" t="s">
        <v>24</v>
      </c>
      <c r="N25" t="s">
        <v>24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25</v>
      </c>
      <c r="V25" t="s">
        <v>22</v>
      </c>
    </row>
    <row r="26" spans="1:22" x14ac:dyDescent="0.45">
      <c r="A26" s="1" t="s">
        <v>22</v>
      </c>
      <c r="B26" t="s">
        <v>22</v>
      </c>
      <c r="C26" t="s">
        <v>22</v>
      </c>
      <c r="D26" t="s">
        <v>22</v>
      </c>
      <c r="E26" t="s">
        <v>22</v>
      </c>
      <c r="F26" t="s">
        <v>23</v>
      </c>
      <c r="G26" t="s">
        <v>23</v>
      </c>
      <c r="H26" t="s">
        <v>23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25</v>
      </c>
      <c r="P26" t="s">
        <v>22</v>
      </c>
      <c r="Q26" t="s">
        <v>22</v>
      </c>
      <c r="R26" t="s">
        <v>23</v>
      </c>
      <c r="S26" t="s">
        <v>22</v>
      </c>
      <c r="T26" t="s">
        <v>23</v>
      </c>
      <c r="U26" t="s">
        <v>25</v>
      </c>
      <c r="V26" t="s">
        <v>22</v>
      </c>
    </row>
    <row r="27" spans="1:22" x14ac:dyDescent="0.45">
      <c r="A27" s="1" t="s">
        <v>22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23</v>
      </c>
      <c r="N27" t="s">
        <v>23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45">
      <c r="A28" s="1" t="s">
        <v>25</v>
      </c>
      <c r="B28" t="s">
        <v>25</v>
      </c>
      <c r="C28" t="s">
        <v>22</v>
      </c>
      <c r="D28" t="s">
        <v>25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23</v>
      </c>
      <c r="Q28" t="s">
        <v>22</v>
      </c>
      <c r="R28" t="s">
        <v>23</v>
      </c>
      <c r="S28" t="s">
        <v>22</v>
      </c>
      <c r="T28" t="s">
        <v>23</v>
      </c>
      <c r="U28" t="s">
        <v>23</v>
      </c>
      <c r="V28" t="s">
        <v>23</v>
      </c>
    </row>
    <row r="29" spans="1:22" x14ac:dyDescent="0.45">
      <c r="A29" s="1" t="s">
        <v>23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24</v>
      </c>
      <c r="J29" t="s">
        <v>24</v>
      </c>
      <c r="K29" t="s">
        <v>24</v>
      </c>
      <c r="L29" t="s">
        <v>24</v>
      </c>
      <c r="M29" t="s">
        <v>23</v>
      </c>
      <c r="N29" t="s">
        <v>23</v>
      </c>
      <c r="O29" t="s">
        <v>25</v>
      </c>
      <c r="P29" t="s">
        <v>23</v>
      </c>
      <c r="Q29" t="s">
        <v>22</v>
      </c>
      <c r="R29" t="s">
        <v>23</v>
      </c>
      <c r="S29" t="s">
        <v>23</v>
      </c>
      <c r="T29" t="s">
        <v>22</v>
      </c>
      <c r="U29" t="s">
        <v>22</v>
      </c>
      <c r="V29" t="s">
        <v>25</v>
      </c>
    </row>
    <row r="30" spans="1:22" x14ac:dyDescent="0.45">
      <c r="A30" s="1" t="s">
        <v>22</v>
      </c>
      <c r="B30" t="s">
        <v>22</v>
      </c>
      <c r="C30" t="s">
        <v>23</v>
      </c>
      <c r="D30" t="s">
        <v>23</v>
      </c>
      <c r="E30" t="s">
        <v>22</v>
      </c>
      <c r="F30" t="s">
        <v>23</v>
      </c>
      <c r="G30" t="s">
        <v>23</v>
      </c>
      <c r="H30" t="s">
        <v>23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23</v>
      </c>
      <c r="O30" t="s">
        <v>22</v>
      </c>
      <c r="P30" t="s">
        <v>23</v>
      </c>
      <c r="Q30" t="s">
        <v>22</v>
      </c>
      <c r="R30" t="s">
        <v>22</v>
      </c>
      <c r="S30" t="s">
        <v>23</v>
      </c>
      <c r="T30" t="s">
        <v>23</v>
      </c>
      <c r="U30" t="s">
        <v>25</v>
      </c>
      <c r="V30" t="s">
        <v>22</v>
      </c>
    </row>
    <row r="31" spans="1:22" x14ac:dyDescent="0.45">
      <c r="A31" s="1" t="s">
        <v>23</v>
      </c>
      <c r="B31" t="s">
        <v>23</v>
      </c>
      <c r="C31" t="s">
        <v>23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23</v>
      </c>
      <c r="J31" t="s">
        <v>23</v>
      </c>
      <c r="K31" t="s">
        <v>23</v>
      </c>
      <c r="L31" t="s">
        <v>22</v>
      </c>
      <c r="M31" t="s">
        <v>22</v>
      </c>
      <c r="N31" t="s">
        <v>22</v>
      </c>
      <c r="O31" t="s">
        <v>22</v>
      </c>
      <c r="P31" t="s">
        <v>23</v>
      </c>
      <c r="Q31" t="s">
        <v>22</v>
      </c>
      <c r="R31" t="s">
        <v>23</v>
      </c>
      <c r="S31" t="s">
        <v>24</v>
      </c>
      <c r="T31" t="s">
        <v>22</v>
      </c>
      <c r="U31" t="s">
        <v>23</v>
      </c>
      <c r="V31" t="s">
        <v>23</v>
      </c>
    </row>
    <row r="32" spans="1:22" x14ac:dyDescent="0.45">
      <c r="A32" s="1" t="s">
        <v>23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22</v>
      </c>
      <c r="K32" t="s">
        <v>22</v>
      </c>
      <c r="L32" t="s">
        <v>23</v>
      </c>
      <c r="M32" t="s">
        <v>23</v>
      </c>
      <c r="N32" t="s">
        <v>22</v>
      </c>
      <c r="O32" t="s">
        <v>23</v>
      </c>
      <c r="P32" t="s">
        <v>23</v>
      </c>
      <c r="Q32" t="s">
        <v>23</v>
      </c>
      <c r="R32" t="s">
        <v>23</v>
      </c>
      <c r="S32" t="s">
        <v>22</v>
      </c>
      <c r="T32" t="s">
        <v>23</v>
      </c>
      <c r="U32" t="s">
        <v>23</v>
      </c>
      <c r="V32" t="s">
        <v>22</v>
      </c>
    </row>
    <row r="33" spans="1:22" x14ac:dyDescent="0.45">
      <c r="A33" s="1" t="s">
        <v>23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23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45">
      <c r="A34" s="1" t="s">
        <v>24</v>
      </c>
      <c r="B34" t="s">
        <v>23</v>
      </c>
      <c r="C34" t="s">
        <v>24</v>
      </c>
      <c r="D34" t="s">
        <v>24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23</v>
      </c>
      <c r="L34" t="s">
        <v>22</v>
      </c>
      <c r="M34" t="s">
        <v>22</v>
      </c>
      <c r="N34" t="s">
        <v>22</v>
      </c>
      <c r="O34" t="s">
        <v>22</v>
      </c>
      <c r="P34" t="s">
        <v>23</v>
      </c>
      <c r="Q34" t="s">
        <v>23</v>
      </c>
      <c r="R34" t="s">
        <v>23</v>
      </c>
      <c r="S34" t="s">
        <v>22</v>
      </c>
      <c r="T34" t="s">
        <v>23</v>
      </c>
      <c r="U34" t="s">
        <v>25</v>
      </c>
      <c r="V34" t="s">
        <v>25</v>
      </c>
    </row>
    <row r="35" spans="1:22" x14ac:dyDescent="0.45">
      <c r="A35" s="1" t="s">
        <v>25</v>
      </c>
      <c r="B35" t="s">
        <v>22</v>
      </c>
      <c r="C35" t="s">
        <v>23</v>
      </c>
      <c r="D35" t="s">
        <v>24</v>
      </c>
      <c r="E35" t="s">
        <v>24</v>
      </c>
      <c r="F35" t="s">
        <v>22</v>
      </c>
      <c r="G35" t="s">
        <v>25</v>
      </c>
      <c r="H35" t="s">
        <v>25</v>
      </c>
      <c r="I35" t="s">
        <v>25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23</v>
      </c>
      <c r="P35" t="s">
        <v>22</v>
      </c>
      <c r="Q35" t="s">
        <v>24</v>
      </c>
      <c r="R35" t="s">
        <v>22</v>
      </c>
      <c r="S35" t="s">
        <v>25</v>
      </c>
      <c r="T35" t="s">
        <v>23</v>
      </c>
      <c r="U35" t="s">
        <v>24</v>
      </c>
      <c r="V35" t="s">
        <v>22</v>
      </c>
    </row>
    <row r="36" spans="1:22" x14ac:dyDescent="0.45">
      <c r="A36" s="1" t="s">
        <v>23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22</v>
      </c>
      <c r="J36" t="s">
        <v>22</v>
      </c>
      <c r="K36" t="s">
        <v>22</v>
      </c>
      <c r="L36" t="s">
        <v>22</v>
      </c>
      <c r="M36" t="s">
        <v>23</v>
      </c>
      <c r="N36" t="s">
        <v>23</v>
      </c>
      <c r="O36" t="s">
        <v>22</v>
      </c>
      <c r="P36" t="s">
        <v>23</v>
      </c>
      <c r="Q36" t="s">
        <v>22</v>
      </c>
      <c r="R36" t="s">
        <v>23</v>
      </c>
      <c r="S36" t="s">
        <v>22</v>
      </c>
      <c r="T36" t="s">
        <v>23</v>
      </c>
      <c r="U36" t="s">
        <v>23</v>
      </c>
      <c r="V36" t="s">
        <v>22</v>
      </c>
    </row>
    <row r="37" spans="1:22" x14ac:dyDescent="0.45">
      <c r="A37" s="1" t="s">
        <v>23</v>
      </c>
      <c r="B37" t="s">
        <v>23</v>
      </c>
      <c r="C37" t="s">
        <v>23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23</v>
      </c>
      <c r="J37" t="s">
        <v>23</v>
      </c>
      <c r="K37" t="s">
        <v>23</v>
      </c>
      <c r="L37" t="s">
        <v>22</v>
      </c>
      <c r="M37" t="s">
        <v>22</v>
      </c>
      <c r="N37" t="s">
        <v>22</v>
      </c>
      <c r="O37" t="s">
        <v>22</v>
      </c>
      <c r="P37" t="s">
        <v>23</v>
      </c>
      <c r="Q37" t="s">
        <v>22</v>
      </c>
      <c r="R37" t="s">
        <v>23</v>
      </c>
      <c r="S37" t="s">
        <v>24</v>
      </c>
      <c r="T37" t="s">
        <v>22</v>
      </c>
      <c r="U37" t="s">
        <v>23</v>
      </c>
      <c r="V37" t="s">
        <v>23</v>
      </c>
    </row>
    <row r="38" spans="1:22" x14ac:dyDescent="0.45">
      <c r="A38" s="1" t="s">
        <v>23</v>
      </c>
      <c r="B38" t="s">
        <v>23</v>
      </c>
      <c r="C38" t="s">
        <v>23</v>
      </c>
      <c r="D38" t="s">
        <v>22</v>
      </c>
      <c r="E38" t="s">
        <v>22</v>
      </c>
      <c r="F38" t="s">
        <v>23</v>
      </c>
      <c r="G38" t="s">
        <v>23</v>
      </c>
      <c r="H38" t="s">
        <v>23</v>
      </c>
      <c r="I38" t="s">
        <v>22</v>
      </c>
      <c r="J38" t="s">
        <v>22</v>
      </c>
      <c r="K38" t="s">
        <v>23</v>
      </c>
      <c r="L38" t="s">
        <v>22</v>
      </c>
      <c r="M38" t="s">
        <v>23</v>
      </c>
      <c r="N38" t="s">
        <v>23</v>
      </c>
      <c r="O38" t="s">
        <v>22</v>
      </c>
      <c r="P38" t="s">
        <v>23</v>
      </c>
      <c r="Q38" t="s">
        <v>23</v>
      </c>
      <c r="R38" t="s">
        <v>22</v>
      </c>
      <c r="S38" t="s">
        <v>22</v>
      </c>
      <c r="T38" t="s">
        <v>23</v>
      </c>
      <c r="U38" t="s">
        <v>22</v>
      </c>
      <c r="V38" t="s">
        <v>23</v>
      </c>
    </row>
    <row r="39" spans="1:22" x14ac:dyDescent="0.45">
      <c r="A39" s="1" t="s">
        <v>22</v>
      </c>
      <c r="B39" t="s">
        <v>22</v>
      </c>
      <c r="C39" t="s">
        <v>23</v>
      </c>
      <c r="D39" t="s">
        <v>22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45">
      <c r="A40" s="1" t="s">
        <v>23</v>
      </c>
      <c r="B40" t="s">
        <v>23</v>
      </c>
      <c r="C40" t="s">
        <v>25</v>
      </c>
      <c r="D40" t="s">
        <v>25</v>
      </c>
      <c r="E40" t="s">
        <v>22</v>
      </c>
      <c r="F40" t="s">
        <v>24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22</v>
      </c>
      <c r="M40" t="s">
        <v>22</v>
      </c>
      <c r="N40" t="s">
        <v>22</v>
      </c>
      <c r="O40" t="s">
        <v>23</v>
      </c>
      <c r="P40" t="s">
        <v>23</v>
      </c>
      <c r="Q40" t="s">
        <v>23</v>
      </c>
      <c r="R40" t="s">
        <v>23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45">
      <c r="A41" s="1" t="s">
        <v>24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25</v>
      </c>
      <c r="H41" t="s">
        <v>24</v>
      </c>
      <c r="I41" t="s">
        <v>23</v>
      </c>
      <c r="J41" t="s">
        <v>23</v>
      </c>
      <c r="K41" t="s">
        <v>23</v>
      </c>
      <c r="L41" t="s">
        <v>25</v>
      </c>
      <c r="M41" t="s">
        <v>23</v>
      </c>
      <c r="N41" t="s">
        <v>23</v>
      </c>
      <c r="O41" t="s">
        <v>22</v>
      </c>
      <c r="P41" t="s">
        <v>24</v>
      </c>
      <c r="Q41" t="s">
        <v>25</v>
      </c>
      <c r="R41" t="s">
        <v>24</v>
      </c>
      <c r="S41" t="s">
        <v>25</v>
      </c>
      <c r="T41" t="s">
        <v>24</v>
      </c>
      <c r="U41" t="s">
        <v>25</v>
      </c>
      <c r="V41" t="s">
        <v>25</v>
      </c>
    </row>
    <row r="42" spans="1:22" x14ac:dyDescent="0.45">
      <c r="A42" s="1" t="s">
        <v>23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22</v>
      </c>
      <c r="P42" t="s">
        <v>23</v>
      </c>
      <c r="Q42" t="s">
        <v>22</v>
      </c>
      <c r="R42" t="s">
        <v>23</v>
      </c>
      <c r="S42" t="s">
        <v>22</v>
      </c>
      <c r="T42" t="s">
        <v>22</v>
      </c>
      <c r="U42" t="s">
        <v>23</v>
      </c>
      <c r="V42" t="s">
        <v>22</v>
      </c>
    </row>
    <row r="43" spans="1:22" x14ac:dyDescent="0.45">
      <c r="A43" s="1" t="s">
        <v>22</v>
      </c>
      <c r="B43" t="s">
        <v>23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25</v>
      </c>
      <c r="I43" t="s">
        <v>22</v>
      </c>
      <c r="J43" t="s">
        <v>22</v>
      </c>
      <c r="K43" t="s">
        <v>22</v>
      </c>
      <c r="L43" t="s">
        <v>22</v>
      </c>
      <c r="M43" t="s">
        <v>25</v>
      </c>
      <c r="N43" t="s">
        <v>26</v>
      </c>
      <c r="O43" t="s">
        <v>25</v>
      </c>
      <c r="P43" t="s">
        <v>25</v>
      </c>
      <c r="Q43" t="s">
        <v>25</v>
      </c>
      <c r="R43" t="s">
        <v>23</v>
      </c>
      <c r="S43" t="s">
        <v>25</v>
      </c>
      <c r="T43" t="s">
        <v>23</v>
      </c>
      <c r="U43" t="s">
        <v>23</v>
      </c>
      <c r="V43" t="s">
        <v>23</v>
      </c>
    </row>
    <row r="44" spans="1:22" x14ac:dyDescent="0.45">
      <c r="A44" s="1" t="s">
        <v>23</v>
      </c>
      <c r="B44" t="s">
        <v>23</v>
      </c>
      <c r="C44" t="s">
        <v>22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22</v>
      </c>
      <c r="J44" t="s">
        <v>22</v>
      </c>
      <c r="K44" t="s">
        <v>22</v>
      </c>
      <c r="L44" t="s">
        <v>24</v>
      </c>
      <c r="M44" t="s">
        <v>24</v>
      </c>
      <c r="N44" t="s">
        <v>24</v>
      </c>
      <c r="O44" t="s">
        <v>22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22</v>
      </c>
      <c r="V44" t="s">
        <v>24</v>
      </c>
    </row>
    <row r="45" spans="1:22" x14ac:dyDescent="0.45">
      <c r="A45" s="1" t="s">
        <v>22</v>
      </c>
      <c r="B45" t="s">
        <v>22</v>
      </c>
      <c r="C45" t="s">
        <v>25</v>
      </c>
      <c r="D45" t="s">
        <v>22</v>
      </c>
      <c r="E45" t="s">
        <v>22</v>
      </c>
      <c r="F45" t="s">
        <v>23</v>
      </c>
      <c r="G45" t="s">
        <v>23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23</v>
      </c>
      <c r="Q45" t="s">
        <v>22</v>
      </c>
      <c r="R45" t="s">
        <v>23</v>
      </c>
      <c r="S45" t="s">
        <v>22</v>
      </c>
      <c r="T45" t="s">
        <v>23</v>
      </c>
      <c r="U45" t="s">
        <v>22</v>
      </c>
      <c r="V45" t="s">
        <v>22</v>
      </c>
    </row>
    <row r="46" spans="1:22" x14ac:dyDescent="0.45">
      <c r="A46" s="1" t="s">
        <v>23</v>
      </c>
      <c r="B46" t="s">
        <v>23</v>
      </c>
      <c r="C46" t="s">
        <v>22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22</v>
      </c>
      <c r="J46" t="s">
        <v>22</v>
      </c>
      <c r="K46" t="s">
        <v>22</v>
      </c>
      <c r="L46" t="s">
        <v>24</v>
      </c>
      <c r="M46" t="s">
        <v>24</v>
      </c>
      <c r="N46" t="s">
        <v>24</v>
      </c>
      <c r="O46" t="s">
        <v>22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22</v>
      </c>
      <c r="V46" t="s">
        <v>24</v>
      </c>
    </row>
    <row r="47" spans="1:22" x14ac:dyDescent="0.45">
      <c r="A47" s="1" t="s">
        <v>22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23</v>
      </c>
      <c r="Q47" t="s">
        <v>22</v>
      </c>
      <c r="R47" t="s">
        <v>23</v>
      </c>
      <c r="S47" t="s">
        <v>22</v>
      </c>
      <c r="T47" t="s">
        <v>23</v>
      </c>
      <c r="U47" t="s">
        <v>23</v>
      </c>
      <c r="V4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70E4-E996-4B69-AF20-CE4807998192}">
  <dimension ref="A3:K48"/>
  <sheetViews>
    <sheetView topLeftCell="A23" workbookViewId="0">
      <selection activeCell="I48" sqref="I48"/>
    </sheetView>
  </sheetViews>
  <sheetFormatPr defaultRowHeight="14.25" x14ac:dyDescent="0.45"/>
  <cols>
    <col min="1" max="1" width="12.06640625" bestFit="1" customWidth="1"/>
    <col min="2" max="2" width="12.46484375" bestFit="1" customWidth="1"/>
    <col min="4" max="4" width="12.06640625" bestFit="1" customWidth="1"/>
    <col min="5" max="5" width="12.46484375" bestFit="1" customWidth="1"/>
    <col min="7" max="7" width="12.06640625" bestFit="1" customWidth="1"/>
    <col min="8" max="8" width="12.796875" bestFit="1" customWidth="1"/>
    <col min="10" max="10" width="12.06640625" bestFit="1" customWidth="1"/>
    <col min="11" max="11" width="12.46484375" bestFit="1" customWidth="1"/>
  </cols>
  <sheetData>
    <row r="3" spans="1:11" x14ac:dyDescent="0.45">
      <c r="A3" s="2" t="s">
        <v>27</v>
      </c>
      <c r="B3" t="s">
        <v>29</v>
      </c>
      <c r="D3" s="2" t="s">
        <v>27</v>
      </c>
      <c r="E3" t="s">
        <v>30</v>
      </c>
      <c r="G3" s="2" t="s">
        <v>27</v>
      </c>
      <c r="H3" t="s">
        <v>31</v>
      </c>
      <c r="J3" s="2" t="s">
        <v>27</v>
      </c>
      <c r="K3" t="s">
        <v>32</v>
      </c>
    </row>
    <row r="4" spans="1:11" x14ac:dyDescent="0.45">
      <c r="A4" s="1" t="s">
        <v>22</v>
      </c>
      <c r="B4">
        <v>18</v>
      </c>
      <c r="D4" s="1" t="s">
        <v>22</v>
      </c>
      <c r="E4">
        <v>15</v>
      </c>
      <c r="G4" s="1" t="s">
        <v>22</v>
      </c>
      <c r="H4">
        <v>16</v>
      </c>
      <c r="J4" s="1" t="s">
        <v>22</v>
      </c>
      <c r="K4">
        <v>15</v>
      </c>
    </row>
    <row r="5" spans="1:11" x14ac:dyDescent="0.45">
      <c r="A5" s="1" t="s">
        <v>23</v>
      </c>
      <c r="B5">
        <v>22</v>
      </c>
      <c r="D5" s="1" t="s">
        <v>23</v>
      </c>
      <c r="E5">
        <v>27</v>
      </c>
      <c r="G5" s="1" t="s">
        <v>23</v>
      </c>
      <c r="H5">
        <v>23</v>
      </c>
      <c r="J5" s="1" t="s">
        <v>23</v>
      </c>
      <c r="K5">
        <v>22</v>
      </c>
    </row>
    <row r="6" spans="1:11" x14ac:dyDescent="0.45">
      <c r="A6" s="1" t="s">
        <v>25</v>
      </c>
      <c r="B6">
        <v>2</v>
      </c>
      <c r="D6" s="1" t="s">
        <v>25</v>
      </c>
      <c r="E6">
        <v>1</v>
      </c>
      <c r="G6" s="1" t="s">
        <v>25</v>
      </c>
      <c r="H6">
        <v>4</v>
      </c>
      <c r="J6" s="1" t="s">
        <v>25</v>
      </c>
      <c r="K6">
        <v>2</v>
      </c>
    </row>
    <row r="7" spans="1:11" x14ac:dyDescent="0.45">
      <c r="A7" s="1" t="s">
        <v>24</v>
      </c>
      <c r="B7">
        <v>4</v>
      </c>
      <c r="D7" s="1" t="s">
        <v>24</v>
      </c>
      <c r="E7">
        <v>3</v>
      </c>
      <c r="G7" s="1" t="s">
        <v>24</v>
      </c>
      <c r="H7">
        <v>3</v>
      </c>
      <c r="J7" s="1" t="s">
        <v>24</v>
      </c>
      <c r="K7">
        <v>7</v>
      </c>
    </row>
    <row r="8" spans="1:11" x14ac:dyDescent="0.45">
      <c r="A8" s="1" t="s">
        <v>28</v>
      </c>
      <c r="B8">
        <v>46</v>
      </c>
      <c r="D8" s="1" t="s">
        <v>28</v>
      </c>
      <c r="E8">
        <v>46</v>
      </c>
      <c r="G8" s="1" t="s">
        <v>28</v>
      </c>
      <c r="H8">
        <v>46</v>
      </c>
      <c r="J8" s="1" t="s">
        <v>28</v>
      </c>
      <c r="K8">
        <v>46</v>
      </c>
    </row>
    <row r="11" spans="1:11" x14ac:dyDescent="0.45">
      <c r="A11" s="2" t="s">
        <v>27</v>
      </c>
      <c r="B11" t="s">
        <v>33</v>
      </c>
      <c r="D11" s="2" t="s">
        <v>27</v>
      </c>
      <c r="E11" t="s">
        <v>34</v>
      </c>
      <c r="G11" s="2" t="s">
        <v>27</v>
      </c>
      <c r="H11" t="s">
        <v>35</v>
      </c>
      <c r="J11" s="2" t="s">
        <v>27</v>
      </c>
      <c r="K11" t="s">
        <v>36</v>
      </c>
    </row>
    <row r="12" spans="1:11" x14ac:dyDescent="0.45">
      <c r="A12" s="1" t="s">
        <v>22</v>
      </c>
      <c r="B12">
        <v>19</v>
      </c>
      <c r="D12" s="1" t="s">
        <v>22</v>
      </c>
      <c r="E12">
        <v>13</v>
      </c>
      <c r="G12" s="1" t="s">
        <v>22</v>
      </c>
      <c r="H12">
        <v>13</v>
      </c>
      <c r="J12" s="1" t="s">
        <v>22</v>
      </c>
      <c r="K12">
        <v>16</v>
      </c>
    </row>
    <row r="13" spans="1:11" x14ac:dyDescent="0.45">
      <c r="A13" s="1" t="s">
        <v>23</v>
      </c>
      <c r="B13">
        <v>20</v>
      </c>
      <c r="D13" s="1" t="s">
        <v>23</v>
      </c>
      <c r="E13">
        <v>27</v>
      </c>
      <c r="G13" s="1" t="s">
        <v>23</v>
      </c>
      <c r="H13">
        <v>27</v>
      </c>
      <c r="J13" s="1" t="s">
        <v>23</v>
      </c>
      <c r="K13">
        <v>24</v>
      </c>
    </row>
    <row r="14" spans="1:11" x14ac:dyDescent="0.45">
      <c r="A14" s="1" t="s">
        <v>25</v>
      </c>
      <c r="B14">
        <v>1</v>
      </c>
      <c r="D14" s="1" t="s">
        <v>25</v>
      </c>
      <c r="E14">
        <v>1</v>
      </c>
      <c r="G14" s="1" t="s">
        <v>25</v>
      </c>
      <c r="H14">
        <v>2</v>
      </c>
      <c r="J14" s="1" t="s">
        <v>25</v>
      </c>
      <c r="K14">
        <v>2</v>
      </c>
    </row>
    <row r="15" spans="1:11" x14ac:dyDescent="0.45">
      <c r="A15" s="1" t="s">
        <v>24</v>
      </c>
      <c r="B15">
        <v>6</v>
      </c>
      <c r="D15" s="1" t="s">
        <v>24</v>
      </c>
      <c r="E15">
        <v>5</v>
      </c>
      <c r="G15" s="1" t="s">
        <v>24</v>
      </c>
      <c r="H15">
        <v>4</v>
      </c>
      <c r="J15" s="1" t="s">
        <v>24</v>
      </c>
      <c r="K15">
        <v>4</v>
      </c>
    </row>
    <row r="16" spans="1:11" x14ac:dyDescent="0.45">
      <c r="A16" s="1" t="s">
        <v>28</v>
      </c>
      <c r="B16">
        <v>46</v>
      </c>
      <c r="D16" s="1" t="s">
        <v>28</v>
      </c>
      <c r="E16">
        <v>46</v>
      </c>
      <c r="G16" s="1" t="s">
        <v>28</v>
      </c>
      <c r="H16">
        <v>46</v>
      </c>
      <c r="J16" s="1" t="s">
        <v>28</v>
      </c>
      <c r="K16">
        <v>46</v>
      </c>
    </row>
    <row r="19" spans="1:11" x14ac:dyDescent="0.45">
      <c r="A19" s="2" t="s">
        <v>27</v>
      </c>
      <c r="B19" t="s">
        <v>43</v>
      </c>
      <c r="D19" s="2" t="s">
        <v>27</v>
      </c>
      <c r="E19" t="s">
        <v>44</v>
      </c>
      <c r="G19" s="2" t="s">
        <v>27</v>
      </c>
      <c r="H19" t="s">
        <v>45</v>
      </c>
      <c r="J19" s="2" t="s">
        <v>27</v>
      </c>
      <c r="K19" t="s">
        <v>46</v>
      </c>
    </row>
    <row r="20" spans="1:11" x14ac:dyDescent="0.45">
      <c r="A20" s="1" t="s">
        <v>22</v>
      </c>
      <c r="B20">
        <v>31</v>
      </c>
      <c r="D20" s="1" t="s">
        <v>22</v>
      </c>
      <c r="E20">
        <v>34</v>
      </c>
      <c r="G20" s="1" t="s">
        <v>22</v>
      </c>
      <c r="H20">
        <v>33</v>
      </c>
      <c r="J20" s="1" t="s">
        <v>22</v>
      </c>
      <c r="K20">
        <v>37</v>
      </c>
    </row>
    <row r="21" spans="1:11" x14ac:dyDescent="0.45">
      <c r="A21" s="1" t="s">
        <v>23</v>
      </c>
      <c r="B21">
        <v>13</v>
      </c>
      <c r="D21" s="1" t="s">
        <v>23</v>
      </c>
      <c r="E21">
        <v>10</v>
      </c>
      <c r="G21" s="1" t="s">
        <v>23</v>
      </c>
      <c r="H21">
        <v>12</v>
      </c>
      <c r="J21" s="1" t="s">
        <v>23</v>
      </c>
      <c r="K21">
        <v>2</v>
      </c>
    </row>
    <row r="22" spans="1:11" x14ac:dyDescent="0.45">
      <c r="A22" s="1" t="s">
        <v>25</v>
      </c>
      <c r="B22">
        <v>1</v>
      </c>
      <c r="D22" s="1" t="s">
        <v>25</v>
      </c>
      <c r="E22">
        <v>1</v>
      </c>
      <c r="G22" s="1" t="s">
        <v>24</v>
      </c>
      <c r="H22">
        <v>1</v>
      </c>
      <c r="J22" s="1" t="s">
        <v>25</v>
      </c>
      <c r="K22">
        <v>2</v>
      </c>
    </row>
    <row r="23" spans="1:11" x14ac:dyDescent="0.45">
      <c r="A23" s="1" t="s">
        <v>24</v>
      </c>
      <c r="B23">
        <v>1</v>
      </c>
      <c r="D23" s="1" t="s">
        <v>24</v>
      </c>
      <c r="E23">
        <v>1</v>
      </c>
      <c r="G23" s="1" t="s">
        <v>28</v>
      </c>
      <c r="H23">
        <v>46</v>
      </c>
      <c r="J23" s="1" t="s">
        <v>24</v>
      </c>
      <c r="K23">
        <v>5</v>
      </c>
    </row>
    <row r="24" spans="1:11" x14ac:dyDescent="0.45">
      <c r="A24" s="1" t="s">
        <v>28</v>
      </c>
      <c r="B24">
        <v>46</v>
      </c>
      <c r="D24" s="1" t="s">
        <v>28</v>
      </c>
      <c r="E24">
        <v>46</v>
      </c>
      <c r="J24" s="1" t="s">
        <v>28</v>
      </c>
      <c r="K24">
        <v>46</v>
      </c>
    </row>
    <row r="27" spans="1:11" x14ac:dyDescent="0.45">
      <c r="A27" s="2" t="s">
        <v>27</v>
      </c>
      <c r="B27" t="s">
        <v>47</v>
      </c>
      <c r="D27" s="2" t="s">
        <v>27</v>
      </c>
      <c r="E27" t="s">
        <v>48</v>
      </c>
      <c r="G27" s="2" t="s">
        <v>27</v>
      </c>
      <c r="H27" t="s">
        <v>49</v>
      </c>
      <c r="J27" s="2" t="s">
        <v>27</v>
      </c>
      <c r="K27" t="s">
        <v>50</v>
      </c>
    </row>
    <row r="28" spans="1:11" x14ac:dyDescent="0.45">
      <c r="A28" s="1" t="s">
        <v>22</v>
      </c>
      <c r="B28">
        <v>25</v>
      </c>
      <c r="D28" s="1" t="s">
        <v>22</v>
      </c>
      <c r="E28">
        <v>23</v>
      </c>
      <c r="G28" s="1" t="s">
        <v>22</v>
      </c>
      <c r="H28">
        <v>32</v>
      </c>
      <c r="J28" s="1" t="s">
        <v>22</v>
      </c>
      <c r="K28">
        <v>8</v>
      </c>
    </row>
    <row r="29" spans="1:11" x14ac:dyDescent="0.45">
      <c r="A29" s="1" t="s">
        <v>23</v>
      </c>
      <c r="B29">
        <v>15</v>
      </c>
      <c r="D29" s="1" t="s">
        <v>23</v>
      </c>
      <c r="E29">
        <v>17</v>
      </c>
      <c r="G29" s="1" t="s">
        <v>23</v>
      </c>
      <c r="H29">
        <v>6</v>
      </c>
      <c r="J29" s="1" t="s">
        <v>23</v>
      </c>
      <c r="K29">
        <v>33</v>
      </c>
    </row>
    <row r="30" spans="1:11" x14ac:dyDescent="0.45">
      <c r="A30" s="1" t="s">
        <v>25</v>
      </c>
      <c r="B30">
        <v>2</v>
      </c>
      <c r="D30" s="1" t="s">
        <v>26</v>
      </c>
      <c r="E30">
        <v>2</v>
      </c>
      <c r="G30" s="1" t="s">
        <v>25</v>
      </c>
      <c r="H30">
        <v>8</v>
      </c>
      <c r="J30" s="1" t="s">
        <v>25</v>
      </c>
      <c r="K30">
        <v>1</v>
      </c>
    </row>
    <row r="31" spans="1:11" x14ac:dyDescent="0.45">
      <c r="A31" s="1" t="s">
        <v>24</v>
      </c>
      <c r="B31">
        <v>4</v>
      </c>
      <c r="D31" s="1" t="s">
        <v>24</v>
      </c>
      <c r="E31">
        <v>4</v>
      </c>
      <c r="G31" s="1" t="s">
        <v>28</v>
      </c>
      <c r="H31">
        <v>46</v>
      </c>
      <c r="J31" s="1" t="s">
        <v>24</v>
      </c>
      <c r="K31">
        <v>4</v>
      </c>
    </row>
    <row r="32" spans="1:11" x14ac:dyDescent="0.45">
      <c r="A32" s="1" t="s">
        <v>28</v>
      </c>
      <c r="B32">
        <v>46</v>
      </c>
      <c r="D32" s="1" t="s">
        <v>28</v>
      </c>
      <c r="E32">
        <v>46</v>
      </c>
      <c r="J32" s="1" t="s">
        <v>28</v>
      </c>
      <c r="K32">
        <v>46</v>
      </c>
    </row>
    <row r="35" spans="1:11" x14ac:dyDescent="0.45">
      <c r="A35" s="2" t="s">
        <v>27</v>
      </c>
      <c r="B35" t="s">
        <v>37</v>
      </c>
      <c r="D35" s="2" t="s">
        <v>27</v>
      </c>
      <c r="E35" t="s">
        <v>38</v>
      </c>
      <c r="G35" s="2" t="s">
        <v>27</v>
      </c>
      <c r="H35" t="s">
        <v>39</v>
      </c>
      <c r="J35" s="2" t="s">
        <v>27</v>
      </c>
      <c r="K35" t="s">
        <v>40</v>
      </c>
    </row>
    <row r="36" spans="1:11" x14ac:dyDescent="0.45">
      <c r="A36" s="1" t="s">
        <v>22</v>
      </c>
      <c r="B36">
        <v>35</v>
      </c>
      <c r="D36" s="1" t="s">
        <v>22</v>
      </c>
      <c r="E36">
        <v>16</v>
      </c>
      <c r="G36" s="1" t="s">
        <v>22</v>
      </c>
      <c r="H36">
        <v>26</v>
      </c>
      <c r="J36" s="1" t="s">
        <v>22</v>
      </c>
      <c r="K36">
        <v>12</v>
      </c>
    </row>
    <row r="37" spans="1:11" x14ac:dyDescent="0.45">
      <c r="A37" s="1" t="s">
        <v>23</v>
      </c>
      <c r="B37">
        <v>5</v>
      </c>
      <c r="D37" s="1" t="s">
        <v>23</v>
      </c>
      <c r="E37">
        <v>26</v>
      </c>
      <c r="G37" s="1" t="s">
        <v>23</v>
      </c>
      <c r="H37">
        <v>12</v>
      </c>
      <c r="J37" s="1" t="s">
        <v>23</v>
      </c>
      <c r="K37">
        <v>30</v>
      </c>
    </row>
    <row r="38" spans="1:11" x14ac:dyDescent="0.45">
      <c r="A38" s="1" t="s">
        <v>25</v>
      </c>
      <c r="B38">
        <v>2</v>
      </c>
      <c r="D38" s="1" t="s">
        <v>24</v>
      </c>
      <c r="E38">
        <v>4</v>
      </c>
      <c r="G38" s="1" t="s">
        <v>25</v>
      </c>
      <c r="H38">
        <v>3</v>
      </c>
      <c r="J38" s="1" t="s">
        <v>24</v>
      </c>
      <c r="K38">
        <v>4</v>
      </c>
    </row>
    <row r="39" spans="1:11" x14ac:dyDescent="0.45">
      <c r="A39" s="1" t="s">
        <v>24</v>
      </c>
      <c r="B39">
        <v>4</v>
      </c>
      <c r="D39" s="1" t="s">
        <v>28</v>
      </c>
      <c r="E39">
        <v>46</v>
      </c>
      <c r="G39" s="1" t="s">
        <v>24</v>
      </c>
      <c r="H39">
        <v>5</v>
      </c>
      <c r="J39" s="1" t="s">
        <v>28</v>
      </c>
      <c r="K39">
        <v>46</v>
      </c>
    </row>
    <row r="40" spans="1:11" x14ac:dyDescent="0.45">
      <c r="A40" s="1" t="s">
        <v>28</v>
      </c>
      <c r="B40">
        <v>46</v>
      </c>
      <c r="G40" s="1" t="s">
        <v>28</v>
      </c>
      <c r="H40">
        <v>46</v>
      </c>
    </row>
    <row r="43" spans="1:11" x14ac:dyDescent="0.45">
      <c r="A43" s="2" t="s">
        <v>27</v>
      </c>
      <c r="B43" t="s">
        <v>41</v>
      </c>
      <c r="D43" s="2" t="s">
        <v>27</v>
      </c>
      <c r="E43" t="s">
        <v>42</v>
      </c>
    </row>
    <row r="44" spans="1:11" x14ac:dyDescent="0.45">
      <c r="A44" s="1" t="s">
        <v>22</v>
      </c>
      <c r="B44">
        <v>17</v>
      </c>
      <c r="D44" s="1" t="s">
        <v>22</v>
      </c>
      <c r="E44">
        <v>22</v>
      </c>
    </row>
    <row r="45" spans="1:11" x14ac:dyDescent="0.45">
      <c r="A45" s="1" t="s">
        <v>23</v>
      </c>
      <c r="B45">
        <v>21</v>
      </c>
      <c r="D45" s="1" t="s">
        <v>23</v>
      </c>
      <c r="E45">
        <v>17</v>
      </c>
    </row>
    <row r="46" spans="1:11" x14ac:dyDescent="0.45">
      <c r="A46" s="1" t="s">
        <v>25</v>
      </c>
      <c r="B46">
        <v>7</v>
      </c>
      <c r="D46" s="1" t="s">
        <v>25</v>
      </c>
      <c r="E46">
        <v>3</v>
      </c>
    </row>
    <row r="47" spans="1:11" x14ac:dyDescent="0.45">
      <c r="A47" s="1" t="s">
        <v>24</v>
      </c>
      <c r="B47">
        <v>1</v>
      </c>
      <c r="D47" s="1" t="s">
        <v>24</v>
      </c>
      <c r="E47">
        <v>4</v>
      </c>
    </row>
    <row r="48" spans="1:11" x14ac:dyDescent="0.45">
      <c r="A48" s="1" t="s">
        <v>28</v>
      </c>
      <c r="B48">
        <v>46</v>
      </c>
      <c r="D48" s="1" t="s">
        <v>28</v>
      </c>
      <c r="E48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36DA-49E3-443B-B8E0-9ED38EA6199C}">
  <dimension ref="A1:J28"/>
  <sheetViews>
    <sheetView topLeftCell="B1" workbookViewId="0">
      <selection activeCell="L1" sqref="L1"/>
    </sheetView>
  </sheetViews>
  <sheetFormatPr defaultRowHeight="14.25" x14ac:dyDescent="0.45"/>
  <cols>
    <col min="1" max="1" width="52.73046875" customWidth="1"/>
    <col min="2" max="2" width="7.86328125" customWidth="1"/>
    <col min="6" max="6" width="15.06640625" customWidth="1"/>
    <col min="7" max="7" width="13.53125" bestFit="1" customWidth="1"/>
    <col min="8" max="8" width="12.265625" bestFit="1" customWidth="1"/>
    <col min="9" max="10" width="13.53125" bestFit="1" customWidth="1"/>
  </cols>
  <sheetData>
    <row r="1" spans="1:10" ht="17.25" thickBot="1" x14ac:dyDescent="0.5">
      <c r="A1" s="3" t="s">
        <v>51</v>
      </c>
      <c r="B1" s="3" t="s">
        <v>22</v>
      </c>
      <c r="C1" s="3" t="s">
        <v>23</v>
      </c>
      <c r="D1" s="3" t="s">
        <v>25</v>
      </c>
      <c r="E1" s="3" t="s">
        <v>24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</row>
    <row r="2" spans="1:10" ht="17.25" thickBot="1" x14ac:dyDescent="0.5">
      <c r="A2" s="3" t="s">
        <v>52</v>
      </c>
      <c r="B2" s="4"/>
      <c r="C2" s="4"/>
      <c r="D2" s="4"/>
      <c r="E2" s="4"/>
      <c r="F2" s="4"/>
      <c r="G2" s="4"/>
      <c r="H2" s="4"/>
      <c r="I2" s="4"/>
      <c r="J2" s="4"/>
    </row>
    <row r="3" spans="1:10" ht="17.25" thickBot="1" x14ac:dyDescent="0.5">
      <c r="A3" s="4" t="s">
        <v>53</v>
      </c>
      <c r="B3">
        <v>18</v>
      </c>
      <c r="C3">
        <v>22</v>
      </c>
      <c r="D3">
        <v>2</v>
      </c>
      <c r="E3">
        <v>4</v>
      </c>
      <c r="F3" s="9">
        <f>B3+C3+D3+E3</f>
        <v>46</v>
      </c>
      <c r="G3" s="10">
        <f>B3/F3</f>
        <v>0.39130434782608697</v>
      </c>
      <c r="H3" s="10">
        <f>C3/F3</f>
        <v>0.47826086956521741</v>
      </c>
      <c r="I3" s="10">
        <f>D3/F3</f>
        <v>4.3478260869565216E-2</v>
      </c>
      <c r="J3" s="10">
        <f>E3/F3</f>
        <v>8.6956521739130432E-2</v>
      </c>
    </row>
    <row r="4" spans="1:10" ht="17.25" thickBot="1" x14ac:dyDescent="0.5">
      <c r="A4" s="4" t="s">
        <v>54</v>
      </c>
      <c r="B4">
        <v>15</v>
      </c>
      <c r="C4">
        <v>27</v>
      </c>
      <c r="D4">
        <v>1</v>
      </c>
      <c r="E4">
        <v>3</v>
      </c>
      <c r="F4" s="9">
        <f t="shared" ref="F4:F28" si="0">B4+C4+D4+E4</f>
        <v>46</v>
      </c>
      <c r="G4" s="10">
        <f t="shared" ref="G4:G28" si="1">B4/F4</f>
        <v>0.32608695652173914</v>
      </c>
      <c r="H4" s="10">
        <f t="shared" ref="H4:H28" si="2">C4/F4</f>
        <v>0.58695652173913049</v>
      </c>
      <c r="I4" s="10">
        <f t="shared" ref="I4:I28" si="3">D4/F4</f>
        <v>2.1739130434782608E-2</v>
      </c>
      <c r="J4" s="10">
        <f t="shared" ref="J4:J28" si="4">E4/F4</f>
        <v>6.5217391304347824E-2</v>
      </c>
    </row>
    <row r="5" spans="1:10" ht="34.15" thickBot="1" x14ac:dyDescent="0.5">
      <c r="A5" s="4" t="s">
        <v>55</v>
      </c>
      <c r="B5">
        <v>16</v>
      </c>
      <c r="C5">
        <v>23</v>
      </c>
      <c r="D5">
        <v>4</v>
      </c>
      <c r="E5">
        <v>3</v>
      </c>
      <c r="F5" s="9">
        <f t="shared" si="0"/>
        <v>46</v>
      </c>
      <c r="G5" s="10">
        <f t="shared" si="1"/>
        <v>0.34782608695652173</v>
      </c>
      <c r="H5" s="10">
        <f t="shared" si="2"/>
        <v>0.5</v>
      </c>
      <c r="I5" s="10">
        <f t="shared" si="3"/>
        <v>8.6956521739130432E-2</v>
      </c>
      <c r="J5" s="10">
        <f t="shared" si="4"/>
        <v>6.5217391304347824E-2</v>
      </c>
    </row>
    <row r="6" spans="1:10" ht="34.15" thickBot="1" x14ac:dyDescent="0.5">
      <c r="A6" s="4" t="s">
        <v>56</v>
      </c>
      <c r="B6">
        <v>15</v>
      </c>
      <c r="C6">
        <v>22</v>
      </c>
      <c r="D6">
        <v>2</v>
      </c>
      <c r="E6">
        <v>7</v>
      </c>
      <c r="F6" s="9">
        <f t="shared" si="0"/>
        <v>46</v>
      </c>
      <c r="G6" s="10">
        <f t="shared" si="1"/>
        <v>0.32608695652173914</v>
      </c>
      <c r="H6" s="10">
        <f t="shared" si="2"/>
        <v>0.47826086956521741</v>
      </c>
      <c r="I6" s="10">
        <f t="shared" si="3"/>
        <v>4.3478260869565216E-2</v>
      </c>
      <c r="J6" s="10">
        <f t="shared" si="4"/>
        <v>0.15217391304347827</v>
      </c>
    </row>
    <row r="7" spans="1:10" ht="34.15" thickBot="1" x14ac:dyDescent="0.5">
      <c r="A7" s="4" t="s">
        <v>57</v>
      </c>
      <c r="B7">
        <v>19</v>
      </c>
      <c r="C7">
        <v>20</v>
      </c>
      <c r="D7">
        <v>1</v>
      </c>
      <c r="E7">
        <v>6</v>
      </c>
      <c r="F7" s="9">
        <f t="shared" si="0"/>
        <v>46</v>
      </c>
      <c r="G7" s="10">
        <f t="shared" si="1"/>
        <v>0.41304347826086957</v>
      </c>
      <c r="H7" s="10">
        <f t="shared" si="2"/>
        <v>0.43478260869565216</v>
      </c>
      <c r="I7" s="10">
        <f t="shared" si="3"/>
        <v>2.1739130434782608E-2</v>
      </c>
      <c r="J7" s="10">
        <f t="shared" si="4"/>
        <v>0.13043478260869565</v>
      </c>
    </row>
    <row r="8" spans="1:10" ht="34.15" thickBot="1" x14ac:dyDescent="0.5">
      <c r="A8" s="4" t="s">
        <v>58</v>
      </c>
      <c r="B8">
        <v>13</v>
      </c>
      <c r="C8">
        <v>27</v>
      </c>
      <c r="D8">
        <v>1</v>
      </c>
      <c r="E8">
        <v>5</v>
      </c>
      <c r="F8" s="9">
        <f t="shared" si="0"/>
        <v>46</v>
      </c>
      <c r="G8" s="10">
        <f t="shared" si="1"/>
        <v>0.28260869565217389</v>
      </c>
      <c r="H8" s="10">
        <f t="shared" si="2"/>
        <v>0.58695652173913049</v>
      </c>
      <c r="I8" s="10">
        <f t="shared" si="3"/>
        <v>2.1739130434782608E-2</v>
      </c>
      <c r="J8" s="10">
        <f t="shared" si="4"/>
        <v>0.10869565217391304</v>
      </c>
    </row>
    <row r="9" spans="1:10" ht="34.15" thickBot="1" x14ac:dyDescent="0.5">
      <c r="A9" s="4" t="s">
        <v>59</v>
      </c>
      <c r="B9">
        <v>13</v>
      </c>
      <c r="C9">
        <v>27</v>
      </c>
      <c r="D9">
        <v>2</v>
      </c>
      <c r="E9">
        <v>4</v>
      </c>
      <c r="F9" s="9">
        <f t="shared" si="0"/>
        <v>46</v>
      </c>
      <c r="G9" s="10">
        <f t="shared" si="1"/>
        <v>0.28260869565217389</v>
      </c>
      <c r="H9" s="10">
        <f t="shared" si="2"/>
        <v>0.58695652173913049</v>
      </c>
      <c r="I9" s="10">
        <f t="shared" si="3"/>
        <v>4.3478260869565216E-2</v>
      </c>
      <c r="J9" s="10">
        <f t="shared" si="4"/>
        <v>8.6956521739130432E-2</v>
      </c>
    </row>
    <row r="10" spans="1:10" ht="31.9" customHeight="1" thickBot="1" x14ac:dyDescent="0.5">
      <c r="A10" s="4" t="s">
        <v>60</v>
      </c>
      <c r="B10">
        <v>16</v>
      </c>
      <c r="C10">
        <v>24</v>
      </c>
      <c r="D10">
        <v>2</v>
      </c>
      <c r="E10">
        <v>4</v>
      </c>
      <c r="F10" s="9">
        <f t="shared" si="0"/>
        <v>46</v>
      </c>
      <c r="G10" s="10">
        <f t="shared" si="1"/>
        <v>0.34782608695652173</v>
      </c>
      <c r="H10" s="10">
        <f t="shared" si="2"/>
        <v>0.52173913043478259</v>
      </c>
      <c r="I10" s="10">
        <f t="shared" si="3"/>
        <v>4.3478260869565216E-2</v>
      </c>
      <c r="J10" s="10">
        <f t="shared" si="4"/>
        <v>8.6956521739130432E-2</v>
      </c>
    </row>
    <row r="11" spans="1:10" ht="19.5" customHeight="1" thickBot="1" x14ac:dyDescent="0.5">
      <c r="A11" s="3" t="s">
        <v>61</v>
      </c>
      <c r="D11" s="4"/>
      <c r="E11" s="4"/>
      <c r="F11" s="9"/>
      <c r="G11" s="10"/>
      <c r="H11" s="10"/>
      <c r="I11" s="10"/>
      <c r="J11" s="10"/>
    </row>
    <row r="12" spans="1:10" ht="34.15" thickBot="1" x14ac:dyDescent="0.5">
      <c r="A12" s="4" t="s">
        <v>62</v>
      </c>
      <c r="B12">
        <v>31</v>
      </c>
      <c r="C12">
        <v>13</v>
      </c>
      <c r="D12">
        <v>1</v>
      </c>
      <c r="E12">
        <v>1</v>
      </c>
      <c r="F12" s="9">
        <f t="shared" si="0"/>
        <v>46</v>
      </c>
      <c r="G12" s="10">
        <f t="shared" si="1"/>
        <v>0.67391304347826086</v>
      </c>
      <c r="H12" s="10">
        <f t="shared" si="2"/>
        <v>0.28260869565217389</v>
      </c>
      <c r="I12" s="10">
        <f t="shared" si="3"/>
        <v>2.1739130434782608E-2</v>
      </c>
      <c r="J12" s="10">
        <f t="shared" si="4"/>
        <v>2.1739130434782608E-2</v>
      </c>
    </row>
    <row r="13" spans="1:10" ht="34.15" thickBot="1" x14ac:dyDescent="0.5">
      <c r="A13" s="4" t="s">
        <v>63</v>
      </c>
      <c r="B13">
        <v>34</v>
      </c>
      <c r="C13" s="7">
        <v>10</v>
      </c>
      <c r="D13" s="7">
        <v>1</v>
      </c>
      <c r="E13" s="7">
        <v>1</v>
      </c>
      <c r="F13" s="9">
        <f t="shared" si="0"/>
        <v>46</v>
      </c>
      <c r="G13" s="10">
        <f t="shared" si="1"/>
        <v>0.73913043478260865</v>
      </c>
      <c r="H13" s="10">
        <f t="shared" si="2"/>
        <v>0.21739130434782608</v>
      </c>
      <c r="I13" s="10">
        <f t="shared" si="3"/>
        <v>2.1739130434782608E-2</v>
      </c>
      <c r="J13" s="10">
        <f t="shared" si="4"/>
        <v>2.1739130434782608E-2</v>
      </c>
    </row>
    <row r="14" spans="1:10" ht="34.15" thickBot="1" x14ac:dyDescent="0.5">
      <c r="A14" s="4" t="s">
        <v>64</v>
      </c>
      <c r="B14">
        <v>33</v>
      </c>
      <c r="C14" s="5">
        <v>12</v>
      </c>
      <c r="D14" s="5"/>
      <c r="E14" s="5">
        <v>1</v>
      </c>
      <c r="F14" s="9">
        <f t="shared" si="0"/>
        <v>46</v>
      </c>
      <c r="G14" s="10">
        <f t="shared" si="1"/>
        <v>0.71739130434782605</v>
      </c>
      <c r="H14" s="10">
        <f t="shared" si="2"/>
        <v>0.2608695652173913</v>
      </c>
      <c r="I14" s="10">
        <f t="shared" si="3"/>
        <v>0</v>
      </c>
      <c r="J14" s="10">
        <f t="shared" si="4"/>
        <v>2.1739130434782608E-2</v>
      </c>
    </row>
    <row r="15" spans="1:10" ht="20.75" customHeight="1" thickBot="1" x14ac:dyDescent="0.5">
      <c r="A15" s="4" t="s">
        <v>65</v>
      </c>
      <c r="B15" s="9">
        <v>37</v>
      </c>
      <c r="C15" s="6">
        <v>2</v>
      </c>
      <c r="D15" s="6">
        <v>2</v>
      </c>
      <c r="E15" s="6">
        <v>5</v>
      </c>
      <c r="F15" s="9">
        <f t="shared" si="0"/>
        <v>46</v>
      </c>
      <c r="G15" s="10">
        <f t="shared" si="1"/>
        <v>0.80434782608695654</v>
      </c>
      <c r="H15" s="10">
        <f t="shared" si="2"/>
        <v>4.3478260869565216E-2</v>
      </c>
      <c r="I15" s="10">
        <f t="shared" si="3"/>
        <v>4.3478260869565216E-2</v>
      </c>
      <c r="J15" s="10">
        <f t="shared" si="4"/>
        <v>0.10869565217391304</v>
      </c>
    </row>
    <row r="16" spans="1:10" ht="20.350000000000001" customHeight="1" thickBot="1" x14ac:dyDescent="0.5">
      <c r="A16" s="3" t="s">
        <v>66</v>
      </c>
      <c r="B16" s="4"/>
      <c r="C16" s="4"/>
      <c r="D16" s="4"/>
      <c r="E16" s="4"/>
      <c r="F16" s="9"/>
      <c r="G16" s="10"/>
      <c r="H16" s="10"/>
      <c r="I16" s="10"/>
      <c r="J16" s="10"/>
    </row>
    <row r="17" spans="1:10" ht="17.25" thickBot="1" x14ac:dyDescent="0.5">
      <c r="A17" s="4" t="s">
        <v>67</v>
      </c>
      <c r="B17" s="7">
        <v>25</v>
      </c>
      <c r="C17" s="7">
        <v>15</v>
      </c>
      <c r="D17" s="7">
        <v>2</v>
      </c>
      <c r="E17" s="7">
        <v>4</v>
      </c>
      <c r="F17" s="9">
        <f t="shared" si="0"/>
        <v>46</v>
      </c>
      <c r="G17" s="10">
        <f t="shared" si="1"/>
        <v>0.54347826086956519</v>
      </c>
      <c r="H17" s="10">
        <f t="shared" si="2"/>
        <v>0.32608695652173914</v>
      </c>
      <c r="I17" s="10">
        <f t="shared" si="3"/>
        <v>4.3478260869565216E-2</v>
      </c>
      <c r="J17" s="10">
        <f t="shared" si="4"/>
        <v>8.6956521739130432E-2</v>
      </c>
    </row>
    <row r="18" spans="1:10" ht="34.15" thickBot="1" x14ac:dyDescent="0.5">
      <c r="A18" s="4" t="s">
        <v>68</v>
      </c>
      <c r="B18" s="7">
        <v>23</v>
      </c>
      <c r="C18" s="7">
        <v>17</v>
      </c>
      <c r="D18" s="7">
        <v>2</v>
      </c>
      <c r="E18" s="7">
        <v>4</v>
      </c>
      <c r="F18" s="9">
        <f t="shared" si="0"/>
        <v>46</v>
      </c>
      <c r="G18" s="10">
        <f t="shared" si="1"/>
        <v>0.5</v>
      </c>
      <c r="H18" s="10">
        <f t="shared" si="2"/>
        <v>0.36956521739130432</v>
      </c>
      <c r="I18" s="10">
        <f t="shared" si="3"/>
        <v>4.3478260869565216E-2</v>
      </c>
      <c r="J18" s="10">
        <f t="shared" si="4"/>
        <v>8.6956521739130432E-2</v>
      </c>
    </row>
    <row r="19" spans="1:10" ht="34.15" thickBot="1" x14ac:dyDescent="0.5">
      <c r="A19" s="4" t="s">
        <v>69</v>
      </c>
      <c r="B19" s="7">
        <v>32</v>
      </c>
      <c r="C19" s="7">
        <v>6</v>
      </c>
      <c r="D19" s="7">
        <v>8</v>
      </c>
      <c r="E19" s="7"/>
      <c r="F19" s="9">
        <f t="shared" si="0"/>
        <v>46</v>
      </c>
      <c r="G19" s="10">
        <f t="shared" si="1"/>
        <v>0.69565217391304346</v>
      </c>
      <c r="H19" s="10">
        <f t="shared" si="2"/>
        <v>0.13043478260869565</v>
      </c>
      <c r="I19" s="10">
        <f t="shared" si="3"/>
        <v>0.17391304347826086</v>
      </c>
      <c r="J19" s="10">
        <f t="shared" si="4"/>
        <v>0</v>
      </c>
    </row>
    <row r="20" spans="1:10" ht="34.15" thickBot="1" x14ac:dyDescent="0.5">
      <c r="A20" s="4" t="s">
        <v>70</v>
      </c>
      <c r="B20" s="7">
        <v>8</v>
      </c>
      <c r="C20" s="7">
        <v>33</v>
      </c>
      <c r="D20" s="7">
        <v>1</v>
      </c>
      <c r="E20" s="7">
        <v>4</v>
      </c>
      <c r="F20" s="9">
        <f t="shared" si="0"/>
        <v>46</v>
      </c>
      <c r="G20" s="10">
        <f t="shared" si="1"/>
        <v>0.17391304347826086</v>
      </c>
      <c r="H20" s="10">
        <f t="shared" si="2"/>
        <v>0.71739130434782605</v>
      </c>
      <c r="I20" s="10">
        <f t="shared" si="3"/>
        <v>2.1739130434782608E-2</v>
      </c>
      <c r="J20" s="10">
        <f t="shared" si="4"/>
        <v>8.6956521739130432E-2</v>
      </c>
    </row>
    <row r="21" spans="1:10" ht="17.25" thickBot="1" x14ac:dyDescent="0.5">
      <c r="A21" s="3" t="s">
        <v>71</v>
      </c>
      <c r="B21" s="7"/>
      <c r="C21" s="7"/>
      <c r="D21" s="7"/>
      <c r="E21" s="7"/>
      <c r="F21" s="9"/>
      <c r="G21" s="10"/>
      <c r="H21" s="10"/>
      <c r="I21" s="10"/>
      <c r="J21" s="10"/>
    </row>
    <row r="22" spans="1:10" ht="34.15" thickBot="1" x14ac:dyDescent="0.5">
      <c r="A22" s="4" t="s">
        <v>72</v>
      </c>
      <c r="B22" s="7">
        <v>35</v>
      </c>
      <c r="C22" s="7">
        <v>5</v>
      </c>
      <c r="D22" s="7">
        <v>2</v>
      </c>
      <c r="E22" s="7">
        <v>4</v>
      </c>
      <c r="F22" s="9">
        <f t="shared" si="0"/>
        <v>46</v>
      </c>
      <c r="G22" s="10">
        <f t="shared" si="1"/>
        <v>0.76086956521739135</v>
      </c>
      <c r="H22" s="10">
        <f t="shared" si="2"/>
        <v>0.10869565217391304</v>
      </c>
      <c r="I22" s="10">
        <f t="shared" si="3"/>
        <v>4.3478260869565216E-2</v>
      </c>
      <c r="J22" s="10">
        <f t="shared" si="4"/>
        <v>8.6956521739130432E-2</v>
      </c>
    </row>
    <row r="23" spans="1:10" ht="34.15" thickBot="1" x14ac:dyDescent="0.5">
      <c r="A23" s="4" t="s">
        <v>73</v>
      </c>
      <c r="B23" s="7">
        <v>16</v>
      </c>
      <c r="C23" s="7">
        <v>26</v>
      </c>
      <c r="D23" s="7"/>
      <c r="E23" s="7">
        <v>4</v>
      </c>
      <c r="F23" s="9">
        <f t="shared" si="0"/>
        <v>46</v>
      </c>
      <c r="G23" s="10">
        <f t="shared" si="1"/>
        <v>0.34782608695652173</v>
      </c>
      <c r="H23" s="10">
        <f t="shared" si="2"/>
        <v>0.56521739130434778</v>
      </c>
      <c r="I23" s="10">
        <f t="shared" si="3"/>
        <v>0</v>
      </c>
      <c r="J23" s="10">
        <f t="shared" si="4"/>
        <v>8.6956521739130432E-2</v>
      </c>
    </row>
    <row r="24" spans="1:10" ht="34.15" thickBot="1" x14ac:dyDescent="0.5">
      <c r="A24" s="4" t="s">
        <v>74</v>
      </c>
      <c r="B24" s="7">
        <v>26</v>
      </c>
      <c r="C24" s="7">
        <v>12</v>
      </c>
      <c r="D24" s="7">
        <v>3</v>
      </c>
      <c r="E24" s="7">
        <v>5</v>
      </c>
      <c r="F24" s="9">
        <f t="shared" si="0"/>
        <v>46</v>
      </c>
      <c r="G24" s="10">
        <f t="shared" si="1"/>
        <v>0.56521739130434778</v>
      </c>
      <c r="H24" s="10">
        <f t="shared" si="2"/>
        <v>0.2608695652173913</v>
      </c>
      <c r="I24" s="10">
        <f t="shared" si="3"/>
        <v>6.5217391304347824E-2</v>
      </c>
      <c r="J24" s="10">
        <f t="shared" si="4"/>
        <v>0.10869565217391304</v>
      </c>
    </row>
    <row r="25" spans="1:10" ht="17.25" thickBot="1" x14ac:dyDescent="0.5">
      <c r="A25" s="3" t="s">
        <v>75</v>
      </c>
      <c r="B25" s="7"/>
      <c r="C25" s="7"/>
      <c r="D25" s="7"/>
      <c r="E25" s="7"/>
      <c r="F25" s="9"/>
      <c r="G25" s="10"/>
      <c r="H25" s="10"/>
      <c r="I25" s="10"/>
      <c r="J25" s="10"/>
    </row>
    <row r="26" spans="1:10" ht="34.15" thickBot="1" x14ac:dyDescent="0.5">
      <c r="A26" s="4" t="s">
        <v>76</v>
      </c>
      <c r="B26" s="7">
        <v>12</v>
      </c>
      <c r="C26" s="7">
        <v>30</v>
      </c>
      <c r="D26" s="7"/>
      <c r="E26" s="7">
        <v>4</v>
      </c>
      <c r="F26" s="9">
        <f t="shared" si="0"/>
        <v>46</v>
      </c>
      <c r="G26" s="10">
        <f t="shared" si="1"/>
        <v>0.2608695652173913</v>
      </c>
      <c r="H26" s="10">
        <f t="shared" si="2"/>
        <v>0.65217391304347827</v>
      </c>
      <c r="I26" s="10">
        <f t="shared" si="3"/>
        <v>0</v>
      </c>
      <c r="J26" s="10">
        <f t="shared" si="4"/>
        <v>8.6956521739130432E-2</v>
      </c>
    </row>
    <row r="27" spans="1:10" ht="34.15" thickBot="1" x14ac:dyDescent="0.5">
      <c r="A27" s="4" t="s">
        <v>77</v>
      </c>
      <c r="B27" s="7">
        <v>17</v>
      </c>
      <c r="C27" s="7">
        <v>21</v>
      </c>
      <c r="D27" s="7">
        <v>7</v>
      </c>
      <c r="E27" s="7">
        <v>1</v>
      </c>
      <c r="F27" s="9">
        <f t="shared" si="0"/>
        <v>46</v>
      </c>
      <c r="G27" s="10">
        <f t="shared" si="1"/>
        <v>0.36956521739130432</v>
      </c>
      <c r="H27" s="10">
        <f t="shared" si="2"/>
        <v>0.45652173913043476</v>
      </c>
      <c r="I27" s="10">
        <f t="shared" si="3"/>
        <v>0.15217391304347827</v>
      </c>
      <c r="J27" s="10">
        <f t="shared" si="4"/>
        <v>2.1739130434782608E-2</v>
      </c>
    </row>
    <row r="28" spans="1:10" ht="34.15" thickBot="1" x14ac:dyDescent="0.5">
      <c r="A28" s="4" t="s">
        <v>78</v>
      </c>
      <c r="B28" s="8">
        <v>22</v>
      </c>
      <c r="C28" s="8">
        <v>17</v>
      </c>
      <c r="D28" s="8">
        <v>3</v>
      </c>
      <c r="E28" s="8">
        <v>4</v>
      </c>
      <c r="F28" s="9">
        <f t="shared" si="0"/>
        <v>46</v>
      </c>
      <c r="G28" s="10">
        <f t="shared" si="1"/>
        <v>0.47826086956521741</v>
      </c>
      <c r="H28" s="10">
        <f t="shared" si="2"/>
        <v>0.36956521739130432</v>
      </c>
      <c r="I28" s="10">
        <f t="shared" si="3"/>
        <v>6.5217391304347824E-2</v>
      </c>
      <c r="J28" s="10">
        <f t="shared" si="4"/>
        <v>8.6956521739130432E-2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A6AC-C59E-4C9E-B8DF-765A767862C7}">
  <dimension ref="A1:V16"/>
  <sheetViews>
    <sheetView workbookViewId="0">
      <selection sqref="A1:V16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  <c r="U2" t="s">
        <v>23</v>
      </c>
      <c r="V2" t="s">
        <v>23</v>
      </c>
    </row>
    <row r="3" spans="1:22" x14ac:dyDescent="0.45">
      <c r="A3" t="s">
        <v>22</v>
      </c>
      <c r="B3" t="s">
        <v>22</v>
      </c>
      <c r="C3" t="s">
        <v>25</v>
      </c>
      <c r="D3" t="s">
        <v>22</v>
      </c>
      <c r="E3" t="s">
        <v>22</v>
      </c>
      <c r="F3" t="s">
        <v>23</v>
      </c>
      <c r="G3" t="s">
        <v>23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23</v>
      </c>
      <c r="Q3" t="s">
        <v>22</v>
      </c>
      <c r="R3" t="s">
        <v>23</v>
      </c>
      <c r="S3" t="s">
        <v>22</v>
      </c>
      <c r="T3" t="s">
        <v>23</v>
      </c>
      <c r="U3" t="s">
        <v>22</v>
      </c>
      <c r="V3" t="s">
        <v>22</v>
      </c>
    </row>
    <row r="4" spans="1:22" x14ac:dyDescent="0.45">
      <c r="A4" t="s">
        <v>22</v>
      </c>
      <c r="B4" t="s">
        <v>22</v>
      </c>
      <c r="C4" t="s">
        <v>23</v>
      </c>
      <c r="D4" t="s">
        <v>22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45">
      <c r="A5" t="s">
        <v>22</v>
      </c>
      <c r="B5" t="s">
        <v>22</v>
      </c>
      <c r="C5" t="s">
        <v>25</v>
      </c>
      <c r="D5" t="s">
        <v>22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23</v>
      </c>
      <c r="Q5" t="s">
        <v>22</v>
      </c>
      <c r="R5" t="s">
        <v>23</v>
      </c>
      <c r="S5" t="s">
        <v>22</v>
      </c>
      <c r="T5" t="s">
        <v>23</v>
      </c>
      <c r="U5" t="s">
        <v>22</v>
      </c>
      <c r="V5" t="s">
        <v>22</v>
      </c>
    </row>
    <row r="6" spans="1:22" x14ac:dyDescent="0.45">
      <c r="A6" t="s">
        <v>22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23</v>
      </c>
      <c r="Q6" t="s">
        <v>22</v>
      </c>
      <c r="R6" t="s">
        <v>23</v>
      </c>
      <c r="S6" t="s">
        <v>22</v>
      </c>
      <c r="T6" t="s">
        <v>23</v>
      </c>
      <c r="U6" t="s">
        <v>23</v>
      </c>
      <c r="V6" t="s">
        <v>23</v>
      </c>
    </row>
    <row r="7" spans="1:22" x14ac:dyDescent="0.45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23</v>
      </c>
      <c r="O7" t="s">
        <v>25</v>
      </c>
      <c r="P7" t="s">
        <v>23</v>
      </c>
      <c r="Q7" t="s">
        <v>22</v>
      </c>
      <c r="R7" t="s">
        <v>23</v>
      </c>
      <c r="S7" t="s">
        <v>22</v>
      </c>
      <c r="T7" t="s">
        <v>23</v>
      </c>
      <c r="U7" t="s">
        <v>22</v>
      </c>
      <c r="V7" t="s">
        <v>23</v>
      </c>
    </row>
    <row r="8" spans="1:22" x14ac:dyDescent="0.45">
      <c r="A8" t="s">
        <v>22</v>
      </c>
      <c r="B8" t="s">
        <v>22</v>
      </c>
      <c r="C8" t="s">
        <v>25</v>
      </c>
      <c r="D8" t="s">
        <v>22</v>
      </c>
      <c r="E8" t="s">
        <v>22</v>
      </c>
      <c r="F8" t="s">
        <v>23</v>
      </c>
      <c r="G8" t="s">
        <v>23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23</v>
      </c>
      <c r="Q8" t="s">
        <v>22</v>
      </c>
      <c r="R8" t="s">
        <v>23</v>
      </c>
      <c r="S8" t="s">
        <v>22</v>
      </c>
      <c r="T8" t="s">
        <v>23</v>
      </c>
      <c r="U8" t="s">
        <v>22</v>
      </c>
      <c r="V8" t="s">
        <v>22</v>
      </c>
    </row>
    <row r="9" spans="1:22" x14ac:dyDescent="0.45">
      <c r="A9" t="s">
        <v>25</v>
      </c>
      <c r="B9" t="s">
        <v>22</v>
      </c>
      <c r="C9" t="s">
        <v>23</v>
      </c>
      <c r="D9" t="s">
        <v>24</v>
      </c>
      <c r="E9" t="s">
        <v>24</v>
      </c>
      <c r="F9" t="s">
        <v>22</v>
      </c>
      <c r="G9" t="s">
        <v>25</v>
      </c>
      <c r="H9" t="s">
        <v>25</v>
      </c>
      <c r="I9" t="s">
        <v>25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23</v>
      </c>
      <c r="P9" t="s">
        <v>22</v>
      </c>
      <c r="Q9" t="s">
        <v>24</v>
      </c>
      <c r="R9" t="s">
        <v>22</v>
      </c>
      <c r="S9" t="s">
        <v>25</v>
      </c>
      <c r="T9" t="s">
        <v>23</v>
      </c>
      <c r="U9" t="s">
        <v>24</v>
      </c>
      <c r="V9" t="s">
        <v>22</v>
      </c>
    </row>
    <row r="10" spans="1:22" x14ac:dyDescent="0.45">
      <c r="A10" t="s">
        <v>22</v>
      </c>
      <c r="B10" t="s">
        <v>22</v>
      </c>
      <c r="C10" t="s">
        <v>23</v>
      </c>
      <c r="D10" t="s">
        <v>23</v>
      </c>
      <c r="E10" t="s">
        <v>22</v>
      </c>
      <c r="F10" t="s">
        <v>23</v>
      </c>
      <c r="G10" t="s">
        <v>23</v>
      </c>
      <c r="H10" t="s">
        <v>23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23</v>
      </c>
      <c r="O10" t="s">
        <v>22</v>
      </c>
      <c r="P10" t="s">
        <v>23</v>
      </c>
      <c r="Q10" t="s">
        <v>22</v>
      </c>
      <c r="R10" t="s">
        <v>22</v>
      </c>
      <c r="S10" t="s">
        <v>23</v>
      </c>
      <c r="T10" t="s">
        <v>23</v>
      </c>
      <c r="U10" t="s">
        <v>25</v>
      </c>
      <c r="V10" t="s">
        <v>22</v>
      </c>
    </row>
    <row r="11" spans="1:22" x14ac:dyDescent="0.45">
      <c r="A1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23</v>
      </c>
      <c r="G11" t="s">
        <v>23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23</v>
      </c>
      <c r="Q11" t="s">
        <v>22</v>
      </c>
      <c r="R11" t="s">
        <v>23</v>
      </c>
      <c r="S11" t="s">
        <v>22</v>
      </c>
      <c r="T11" t="s">
        <v>23</v>
      </c>
      <c r="U11" t="s">
        <v>22</v>
      </c>
      <c r="V11" t="s">
        <v>22</v>
      </c>
    </row>
    <row r="12" spans="1:22" x14ac:dyDescent="0.45">
      <c r="A12" t="s">
        <v>22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23</v>
      </c>
      <c r="N12" t="s">
        <v>23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45">
      <c r="A13" t="s">
        <v>22</v>
      </c>
      <c r="B13" t="s">
        <v>22</v>
      </c>
      <c r="C13" t="s">
        <v>22</v>
      </c>
      <c r="D13" t="s">
        <v>23</v>
      </c>
      <c r="E13" t="s">
        <v>22</v>
      </c>
      <c r="F13" t="s">
        <v>23</v>
      </c>
      <c r="G13" t="s">
        <v>23</v>
      </c>
      <c r="H13" t="s">
        <v>23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25</v>
      </c>
      <c r="P13" t="s">
        <v>23</v>
      </c>
      <c r="Q13" t="s">
        <v>22</v>
      </c>
      <c r="R13" t="s">
        <v>23</v>
      </c>
      <c r="S13" t="s">
        <v>23</v>
      </c>
      <c r="T13" t="s">
        <v>23</v>
      </c>
      <c r="U13" t="s">
        <v>25</v>
      </c>
      <c r="V13" t="s">
        <v>22</v>
      </c>
    </row>
    <row r="14" spans="1:22" x14ac:dyDescent="0.45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23</v>
      </c>
      <c r="G14" t="s">
        <v>23</v>
      </c>
      <c r="H14" t="s">
        <v>23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25</v>
      </c>
      <c r="P14" t="s">
        <v>22</v>
      </c>
      <c r="Q14" t="s">
        <v>22</v>
      </c>
      <c r="R14" t="s">
        <v>23</v>
      </c>
      <c r="S14" t="s">
        <v>22</v>
      </c>
      <c r="T14" t="s">
        <v>23</v>
      </c>
      <c r="U14" t="s">
        <v>25</v>
      </c>
      <c r="V14" t="s">
        <v>22</v>
      </c>
    </row>
    <row r="15" spans="1:22" x14ac:dyDescent="0.45">
      <c r="A15" t="s">
        <v>22</v>
      </c>
      <c r="B15" t="s">
        <v>22</v>
      </c>
      <c r="C15" t="s">
        <v>22</v>
      </c>
      <c r="D15" t="s">
        <v>22</v>
      </c>
      <c r="E15" t="s">
        <v>22</v>
      </c>
      <c r="F15" t="s">
        <v>25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25</v>
      </c>
      <c r="P15" t="s">
        <v>23</v>
      </c>
      <c r="Q15" t="s">
        <v>23</v>
      </c>
      <c r="R15" t="s">
        <v>22</v>
      </c>
      <c r="S15" t="s">
        <v>22</v>
      </c>
      <c r="T15" t="s">
        <v>23</v>
      </c>
      <c r="U15" t="s">
        <v>23</v>
      </c>
      <c r="V15" t="s">
        <v>23</v>
      </c>
    </row>
    <row r="16" spans="1:22" x14ac:dyDescent="0.45">
      <c r="A16" t="s">
        <v>22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23</v>
      </c>
      <c r="Q16" t="s">
        <v>22</v>
      </c>
      <c r="R16" t="s">
        <v>23</v>
      </c>
      <c r="S16" t="s">
        <v>22</v>
      </c>
      <c r="T16" t="s">
        <v>22</v>
      </c>
      <c r="U16" t="s">
        <v>23</v>
      </c>
      <c r="V16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F10D-6E72-4B78-A40E-3814E1EED9CF}">
  <dimension ref="A1:V16"/>
  <sheetViews>
    <sheetView tabSelected="1" workbookViewId="0">
      <selection activeCell="I23" sqref="I23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  <c r="U2" t="s">
        <v>23</v>
      </c>
      <c r="V2" t="s">
        <v>23</v>
      </c>
    </row>
    <row r="3" spans="1:22" x14ac:dyDescent="0.45">
      <c r="A3" t="s">
        <v>22</v>
      </c>
      <c r="B3" t="s">
        <v>22</v>
      </c>
      <c r="C3" t="s">
        <v>25</v>
      </c>
      <c r="D3" t="s">
        <v>22</v>
      </c>
      <c r="E3" t="s">
        <v>22</v>
      </c>
      <c r="F3" t="s">
        <v>23</v>
      </c>
      <c r="G3" t="s">
        <v>23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23</v>
      </c>
      <c r="Q3" t="s">
        <v>22</v>
      </c>
      <c r="R3" t="s">
        <v>23</v>
      </c>
      <c r="S3" t="s">
        <v>22</v>
      </c>
      <c r="T3" t="s">
        <v>23</v>
      </c>
      <c r="U3" t="s">
        <v>22</v>
      </c>
      <c r="V3" t="s">
        <v>22</v>
      </c>
    </row>
    <row r="4" spans="1:22" x14ac:dyDescent="0.45">
      <c r="A4" t="s">
        <v>22</v>
      </c>
      <c r="B4" t="s">
        <v>22</v>
      </c>
      <c r="C4" t="s">
        <v>23</v>
      </c>
      <c r="D4" t="s">
        <v>22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45">
      <c r="A5" t="s">
        <v>22</v>
      </c>
      <c r="B5" t="s">
        <v>22</v>
      </c>
      <c r="C5" t="s">
        <v>25</v>
      </c>
      <c r="D5" t="s">
        <v>22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23</v>
      </c>
      <c r="Q5" t="s">
        <v>22</v>
      </c>
      <c r="R5" t="s">
        <v>23</v>
      </c>
      <c r="S5" t="s">
        <v>22</v>
      </c>
      <c r="T5" t="s">
        <v>23</v>
      </c>
      <c r="U5" t="s">
        <v>22</v>
      </c>
      <c r="V5" t="s">
        <v>22</v>
      </c>
    </row>
    <row r="6" spans="1:22" x14ac:dyDescent="0.45">
      <c r="A6" t="s">
        <v>22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23</v>
      </c>
      <c r="Q6" t="s">
        <v>22</v>
      </c>
      <c r="R6" t="s">
        <v>23</v>
      </c>
      <c r="S6" t="s">
        <v>22</v>
      </c>
      <c r="T6" t="s">
        <v>23</v>
      </c>
      <c r="U6" t="s">
        <v>23</v>
      </c>
      <c r="V6" t="s">
        <v>23</v>
      </c>
    </row>
    <row r="7" spans="1:22" x14ac:dyDescent="0.45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23</v>
      </c>
      <c r="O7" t="s">
        <v>25</v>
      </c>
      <c r="P7" t="s">
        <v>23</v>
      </c>
      <c r="Q7" t="s">
        <v>22</v>
      </c>
      <c r="R7" t="s">
        <v>23</v>
      </c>
      <c r="S7" t="s">
        <v>22</v>
      </c>
      <c r="T7" t="s">
        <v>23</v>
      </c>
      <c r="U7" t="s">
        <v>22</v>
      </c>
      <c r="V7" t="s">
        <v>23</v>
      </c>
    </row>
    <row r="8" spans="1:22" x14ac:dyDescent="0.45">
      <c r="A8" t="s">
        <v>22</v>
      </c>
      <c r="B8" t="s">
        <v>22</v>
      </c>
      <c r="C8" t="s">
        <v>25</v>
      </c>
      <c r="D8" t="s">
        <v>22</v>
      </c>
      <c r="E8" t="s">
        <v>22</v>
      </c>
      <c r="F8" t="s">
        <v>23</v>
      </c>
      <c r="G8" t="s">
        <v>23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23</v>
      </c>
      <c r="Q8" t="s">
        <v>22</v>
      </c>
      <c r="R8" t="s">
        <v>23</v>
      </c>
      <c r="S8" t="s">
        <v>22</v>
      </c>
      <c r="T8" t="s">
        <v>23</v>
      </c>
      <c r="U8" t="s">
        <v>22</v>
      </c>
      <c r="V8" t="s">
        <v>22</v>
      </c>
    </row>
    <row r="9" spans="1:22" x14ac:dyDescent="0.45">
      <c r="A9" t="s">
        <v>25</v>
      </c>
      <c r="B9" t="s">
        <v>22</v>
      </c>
      <c r="C9" t="s">
        <v>23</v>
      </c>
      <c r="D9" t="s">
        <v>24</v>
      </c>
      <c r="E9" t="s">
        <v>24</v>
      </c>
      <c r="F9" t="s">
        <v>22</v>
      </c>
      <c r="G9" t="s">
        <v>25</v>
      </c>
      <c r="H9" t="s">
        <v>25</v>
      </c>
      <c r="I9" t="s">
        <v>25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23</v>
      </c>
      <c r="P9" t="s">
        <v>22</v>
      </c>
      <c r="Q9" t="s">
        <v>24</v>
      </c>
      <c r="R9" t="s">
        <v>22</v>
      </c>
      <c r="S9" t="s">
        <v>25</v>
      </c>
      <c r="T9" t="s">
        <v>23</v>
      </c>
      <c r="U9" t="s">
        <v>24</v>
      </c>
      <c r="V9" t="s">
        <v>22</v>
      </c>
    </row>
    <row r="10" spans="1:22" x14ac:dyDescent="0.45">
      <c r="A10" t="s">
        <v>22</v>
      </c>
      <c r="B10" t="s">
        <v>22</v>
      </c>
      <c r="C10" t="s">
        <v>23</v>
      </c>
      <c r="D10" t="s">
        <v>23</v>
      </c>
      <c r="E10" t="s">
        <v>22</v>
      </c>
      <c r="F10" t="s">
        <v>23</v>
      </c>
      <c r="G10" t="s">
        <v>23</v>
      </c>
      <c r="H10" t="s">
        <v>23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23</v>
      </c>
      <c r="O10" t="s">
        <v>22</v>
      </c>
      <c r="P10" t="s">
        <v>23</v>
      </c>
      <c r="Q10" t="s">
        <v>22</v>
      </c>
      <c r="R10" t="s">
        <v>22</v>
      </c>
      <c r="S10" t="s">
        <v>23</v>
      </c>
      <c r="T10" t="s">
        <v>23</v>
      </c>
      <c r="U10" t="s">
        <v>25</v>
      </c>
      <c r="V10" t="s">
        <v>22</v>
      </c>
    </row>
    <row r="11" spans="1:22" x14ac:dyDescent="0.45">
      <c r="A11" t="s">
        <v>22</v>
      </c>
      <c r="B11" t="s">
        <v>22</v>
      </c>
      <c r="C11" t="s">
        <v>22</v>
      </c>
      <c r="D11" t="s">
        <v>22</v>
      </c>
      <c r="E11" t="s">
        <v>22</v>
      </c>
      <c r="F11" t="s">
        <v>23</v>
      </c>
      <c r="G11" t="s">
        <v>23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23</v>
      </c>
      <c r="Q11" t="s">
        <v>22</v>
      </c>
      <c r="R11" t="s">
        <v>23</v>
      </c>
      <c r="S11" t="s">
        <v>22</v>
      </c>
      <c r="T11" t="s">
        <v>23</v>
      </c>
      <c r="U11" t="s">
        <v>22</v>
      </c>
      <c r="V11" t="s">
        <v>22</v>
      </c>
    </row>
    <row r="12" spans="1:22" x14ac:dyDescent="0.45">
      <c r="A12" t="s">
        <v>22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23</v>
      </c>
      <c r="N12" t="s">
        <v>23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45">
      <c r="A13" t="s">
        <v>22</v>
      </c>
      <c r="B13" t="s">
        <v>22</v>
      </c>
      <c r="C13" t="s">
        <v>22</v>
      </c>
      <c r="D13" t="s">
        <v>23</v>
      </c>
      <c r="E13" t="s">
        <v>22</v>
      </c>
      <c r="F13" t="s">
        <v>23</v>
      </c>
      <c r="G13" t="s">
        <v>23</v>
      </c>
      <c r="H13" t="s">
        <v>23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25</v>
      </c>
      <c r="P13" t="s">
        <v>23</v>
      </c>
      <c r="Q13" t="s">
        <v>22</v>
      </c>
      <c r="R13" t="s">
        <v>23</v>
      </c>
      <c r="S13" t="s">
        <v>23</v>
      </c>
      <c r="T13" t="s">
        <v>23</v>
      </c>
      <c r="U13" t="s">
        <v>25</v>
      </c>
      <c r="V13" t="s">
        <v>22</v>
      </c>
    </row>
    <row r="14" spans="1:22" x14ac:dyDescent="0.45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23</v>
      </c>
      <c r="G14" t="s">
        <v>23</v>
      </c>
      <c r="H14" t="s">
        <v>23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25</v>
      </c>
      <c r="P14" t="s">
        <v>22</v>
      </c>
      <c r="Q14" t="s">
        <v>22</v>
      </c>
      <c r="R14" t="s">
        <v>23</v>
      </c>
      <c r="S14" t="s">
        <v>22</v>
      </c>
      <c r="T14" t="s">
        <v>23</v>
      </c>
      <c r="U14" t="s">
        <v>25</v>
      </c>
      <c r="V14" t="s">
        <v>22</v>
      </c>
    </row>
    <row r="15" spans="1:22" x14ac:dyDescent="0.45">
      <c r="A15" t="s">
        <v>22</v>
      </c>
      <c r="B15" t="s">
        <v>22</v>
      </c>
      <c r="C15" t="s">
        <v>22</v>
      </c>
      <c r="D15" t="s">
        <v>22</v>
      </c>
      <c r="E15" t="s">
        <v>22</v>
      </c>
      <c r="F15" t="s">
        <v>25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25</v>
      </c>
      <c r="P15" t="s">
        <v>23</v>
      </c>
      <c r="Q15" t="s">
        <v>23</v>
      </c>
      <c r="R15" t="s">
        <v>22</v>
      </c>
      <c r="S15" t="s">
        <v>22</v>
      </c>
      <c r="T15" t="s">
        <v>23</v>
      </c>
      <c r="U15" t="s">
        <v>23</v>
      </c>
      <c r="V15" t="s">
        <v>23</v>
      </c>
    </row>
    <row r="16" spans="1:22" x14ac:dyDescent="0.45">
      <c r="A16" t="s">
        <v>22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23</v>
      </c>
      <c r="Q16" t="s">
        <v>22</v>
      </c>
      <c r="R16" t="s">
        <v>23</v>
      </c>
      <c r="S16" t="s">
        <v>22</v>
      </c>
      <c r="T16" t="s">
        <v>22</v>
      </c>
      <c r="U16" t="s">
        <v>23</v>
      </c>
      <c r="V16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A26E-DED5-487D-8605-52401235DE76}">
  <dimension ref="A1"/>
  <sheetViews>
    <sheetView workbookViewId="0">
      <selection activeCell="O2" sqref="O2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Ichabor</dc:creator>
  <cp:lastModifiedBy>Godwin Ichabor</cp:lastModifiedBy>
  <dcterms:created xsi:type="dcterms:W3CDTF">2024-12-25T17:57:57Z</dcterms:created>
  <dcterms:modified xsi:type="dcterms:W3CDTF">2025-05-02T13:16:40Z</dcterms:modified>
</cp:coreProperties>
</file>